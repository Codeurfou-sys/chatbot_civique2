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c339ee763b4013" /></Relationships>
</file>

<file path=xl/workbook.xml><?xml version="1.0" encoding="utf-8"?>
<x:workbook xmlns:x="http://schemas.openxmlformats.org/spreadsheetml/2006/main">
  <x:sheets>
    <x:sheet xmlns:r="http://schemas.openxmlformats.org/officeDocument/2006/relationships" name="Banque_MS_NAT_251" sheetId="1" r:id="Rd1f4e4b57a3345a5"/>
    <x:sheet xmlns:r="http://schemas.openxmlformats.org/officeDocument/2006/relationships" name="Synthèse" sheetId="2" r:id="R55969b2365d942b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1F2937"/>
      <x:name val="Aptos"/>
    </x:font>
    <x:font>
      <x:b/>
      <x:sz val="10"/>
      <x:color rgb="FFFFFFFF"/>
      <x:name val="Aptos Display"/>
    </x:font>
    <x:font>
      <x:b/>
      <x:sz val="16"/>
      <x:color rgb="FFFFFFFF"/>
      <x:name val="Aptos Display"/>
    </x:font>
    <x:font>
      <x:i/>
      <x:sz val="10"/>
      <x:color rgb="FF17365D"/>
      <x:name val="Aptos"/>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s>
  <x:borders count="16">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9FBAD0"/>
      </x:left>
      <x:top style="thin">
        <x:color rgb="FF9FBAD0"/>
      </x:top>
    </x:border>
    <x:border>
      <x:right style="thin">
        <x:color rgb="FF9FBAD0"/>
      </x:right>
      <x:top style="thin">
        <x:color rgb="FF9FBAD0"/>
      </x:top>
    </x:border>
    <x:border>
      <x:left style="thin">
        <x:color rgb="FF9FBAD0"/>
      </x:left>
    </x:border>
    <x:border>
      <x:right style="thin">
        <x:color rgb="FF9FBAD0"/>
      </x:right>
    </x:border>
    <x:border>
      <x:left style="thin">
        <x:color rgb="FF9FBAD0"/>
      </x:left>
      <x:bottom style="thin">
        <x:color rgb="FF9FBAD0"/>
      </x:bottom>
    </x:border>
    <x:border>
      <x:right style="thin">
        <x:color rgb="FF9FBAD0"/>
      </x:right>
      <x:bottom style="thin">
        <x:color rgb="FF9FBAD0"/>
      </x:bottom>
    </x:border>
  </x:borders>
  <x:cellStyleXfs count="1">
    <x:xf numFmtId="0" fontId="0" fillId="0" borderId="0"/>
  </x:cellStyleXfs>
  <x:cellXfs count="5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7" xfId="0" applyNumberFormat="1" applyFont="1" applyFill="1" applyBorder="1" applyAlignment="1">
      <x:alignment vertical="top"/>
    </x:xf>
    <x:xf numFmtId="0" fontId="1" fillId="0" borderId="8" xfId="0" applyNumberFormat="1" applyFont="1" applyFill="1" applyBorder="1" applyAlignment="1">
      <x:alignment vertical="top"/>
    </x:xf>
    <x:xf numFmtId="0" fontId="1" fillId="0" borderId="9" xfId="0" applyNumberFormat="1" applyFont="1" applyFill="1" applyBorder="1" applyAlignment="1">
      <x:alignment vertical="top"/>
    </x:xf>
    <x:xf numFmtId="0" fontId="1" fillId="2" borderId="1" xfId="0" applyNumberFormat="1" applyFont="1" applyFill="1" applyBorder="1" applyAlignment="1">
      <x:alignment vertical="top"/>
    </x:xf>
    <x:xf numFmtId="0" fontId="1" fillId="2" borderId="2" xfId="0" applyNumberFormat="1" applyFont="1" applyFill="1" applyBorder="1" applyAlignment="1">
      <x:alignment vertical="top"/>
    </x:xf>
    <x:xf numFmtId="0" fontId="1" fillId="2" borderId="3"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8" xfId="0" applyNumberFormat="1" applyFont="1" applyFill="1" applyBorder="1" applyAlignment="1">
      <x:alignment horizontal="center"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200" fontId="0" fillId="0" borderId="13" xfId="0" applyNumberFormat="1" applyFont="1" applyFill="1" applyBorder="1"/>
    <x:xf numFmtId="200" fontId="0" fillId="0" borderId="15" xfId="0" applyNumberFormat="1" applyFont="1" applyFill="1" applyBorder="1"/>
    <x:xf numFmtId="200" fontId="0" fillId="0" borderId="13" xfId="0" applyNumberFormat="1" applyFont="1" applyFill="1" applyBorder="1" applyAlignment="1">
      <x:alignment horizontal="right"/>
    </x:xf>
    <x:xf numFmtId="200" fontId="0" fillId="0" borderId="15" xfId="0" applyNumberFormat="1" applyFont="1" applyFill="1" applyBorder="1" applyAlignment="1">
      <x:alignment horizontal="right"/>
    </x:xf>
    <x:xf numFmtId="0" fontId="6" fillId="0" borderId="14" xfId="0" applyNumberFormat="1" applyFont="1" applyFill="1" applyBorder="1"/>
    <x:xf numFmtId="200" fontId="6" fillId="0" borderId="15"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7a5155d6ed4999" /><Relationship Type="http://schemas.openxmlformats.org/officeDocument/2006/relationships/theme" Target="/xl/theme/theme1.xml" Id="R4dcf5824b83b467c" /><Relationship Type="http://schemas.openxmlformats.org/officeDocument/2006/relationships/sharedStrings" Target="/xl/sharedStrings.xml" Id="Rb2df85d9b1c64752" /><Relationship Type="http://schemas.openxmlformats.org/officeDocument/2006/relationships/worksheet" Target="/xl/worksheets/sheet1.xml" Id="Rd1f4e4b57a3345a5" /><Relationship Type="http://schemas.openxmlformats.org/officeDocument/2006/relationships/worksheet" Target="/xl/worksheets/sheet2.xml" Id="R55969b2365d942bb" /></Relationships>
</file>

<file path=xl/tables/table1.xml><?xml version="1.0" encoding="utf-8"?>
<x:table xmlns:x="http://schemas.openxmlformats.org/spreadsheetml/2006/main" id="1" name="BanqueMisesSituationNAT" displayName="BanqueMisesSituationNAT" ref="A1:M252" headerRowCount="1" totalsRowCount="0" totalsRowShown="0">
  <x:tableColumns count="13">
    <x:tableColumn id="1" name="ID"/>
    <x:tableColumn id="2" name="ID question source"/>
    <x:tableColumn id="3" name="Thématique"/>
    <x:tableColumn id="4" name="Difficulté"/>
    <x:tableColumn id="5" name="Mise en situation"/>
    <x:tableColumn id="6" name="Question posée"/>
    <x:tableColumn id="7" name="Réponse A"/>
    <x:tableColumn id="8" name="Réponse B"/>
    <x:tableColumn id="9" name="Réponse C"/>
    <x:tableColumn id="10" name="Réponse D"/>
    <x:tableColumn id="11" name="Bonne réponse"/>
    <x:tableColumn id="12" name="Feedback pédagogique"/>
    <x:tableColumn id="13" name="Mots-clé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b7b81ffaed46ae" /></Relationships>
</file>

<file path=xl/worksheets/sheet1.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13.890000343322754" hidden="0" customWidth="1"/>
    <x:col min="3" max="3" width="28.889999389648438" hidden="0" customWidth="1"/>
    <x:col min="4" max="4" width="13.329999923706055" hidden="0" customWidth="1"/>
    <x:col min="5" max="5" width="52.220001220703125" hidden="0" customWidth="1"/>
    <x:col min="6" max="6" width="23.329999923706055" hidden="0" customWidth="1"/>
    <x:col min="7" max="7" width="26.670000076293945" hidden="0" customWidth="1"/>
    <x:col min="8" max="8" width="26.670000076293945" hidden="0" customWidth="1"/>
    <x:col min="9" max="9" width="26.670000076293945" hidden="0" customWidth="1"/>
    <x:col min="10" max="10" width="26.670000076293945" hidden="0" customWidth="1"/>
    <x:col min="11" max="11" width="9.4399995803833" hidden="0" customWidth="1"/>
    <x:col min="12" max="12" width="52.220001220703125" hidden="0" customWidth="1"/>
    <x:col min="13" max="13" width="25.559999465942383" hidden="0" customWidth="1"/>
  </x:cols>
  <x:sheetData>
    <x:row r="1" ht="31.5" customHeight="1">
      <x:c r="A1" s="21" t="str">
        <x:v>ID</x:v>
      </x:c>
      <x:c r="B1" s="22" t="str">
        <x:v>ID question source</x:v>
      </x:c>
      <x:c r="C1" s="22" t="str">
        <x:v>Thématique</x:v>
      </x:c>
      <x:c r="D1" s="22" t="str">
        <x:v>Difficulté</x:v>
      </x:c>
      <x:c r="E1" s="22" t="str">
        <x:v>Mise en situation</x:v>
      </x:c>
      <x:c r="F1" s="22" t="str">
        <x:v>Question posée</x:v>
      </x:c>
      <x:c r="G1" s="22" t="str">
        <x:v>Réponse A</x:v>
      </x:c>
      <x:c r="H1" s="22" t="str">
        <x:v>Réponse B</x:v>
      </x:c>
      <x:c r="I1" s="22" t="str">
        <x:v>Réponse C</x:v>
      </x:c>
      <x:c r="J1" s="22" t="str">
        <x:v>Réponse D</x:v>
      </x:c>
      <x:c r="K1" s="22" t="str">
        <x:v>Bonne réponse</x:v>
      </x:c>
      <x:c r="L1" s="22" t="str">
        <x:v>Feedback pédagogique</x:v>
      </x:c>
      <x:c r="M1" s="23" t="str">
        <x:v>Mots-clés</x:v>
      </x:c>
    </x:row>
    <x:row r="2">
      <x:c r="A2" s="24" t="str">
        <x:v>MS-NAT-T1-001</x:v>
      </x:c>
      <x:c r="B2" s="25" t="str">
        <x:v>NAT-T1-001</x:v>
      </x:c>
      <x:c r="C2" s="25" t="str">
        <x:v>Principes et valeurs de la République</x:v>
      </x:c>
      <x:c r="D2" s="25" t="str">
        <x:v>🔴 Difficile</x:v>
      </x:c>
      <x:c r="E2" s="28" t="str">
        <x:v>Lors d’un échange dans une association locale, une personne souhaite mieux comprendre les principes et les symboles de la République. Un participant propose la réponse « Aux armes, citoyens ». Vous devez vérifier cette affirmation.</x:v>
      </x:c>
      <x:c r="F2" s="28" t="str">
        <x:v>Complétez les paroles de la Marseillaise : « Allons enfants de la patrie… »</x:v>
      </x:c>
      <x:c r="G2" s="28" t="str">
        <x:v>Le jour de gloire est arrivé.</x:v>
      </x:c>
      <x:c r="H2" s="28" t="str">
        <x:v>Aux armes, citoyens.</x:v>
      </x:c>
      <x:c r="I2" s="28" t="str">
        <x:v>Formez vos bataillons.</x:v>
      </x:c>
      <x:c r="J2" s="28" t="str">
        <x:v>Contre nous de la tyrannie.</x:v>
      </x:c>
      <x:c r="K2" s="32" t="str">
        <x:v>A</x:v>
      </x:c>
      <x:c r="L2" s="28" t="str">
        <x:v>La bonne réponse est « Le jour de gloire est arrivé ». La Marseillaise est l'hymne national français depuis 1795. Le vers exact est « Allons enfants de la patrie, le jour de gloire est arrivé. »</x:v>
      </x:c>
      <x:c r="M2" s="29" t="str">
        <x:v>Marseillaise; Hymne national; République</x:v>
      </x:c>
    </x:row>
    <x:row r="3">
      <x:c r="A3" s="24" t="str">
        <x:v>MS-NAT-T1-002</x:v>
      </x:c>
      <x:c r="B3" s="25" t="str">
        <x:v>NAT-T1-002</x:v>
      </x:c>
      <x:c r="C3" s="25" t="str">
        <x:v>Principes et valeurs de la République</x:v>
      </x:c>
      <x:c r="D3" s="25" t="str">
        <x:v>🔴 Difficile</x:v>
      </x:c>
      <x:c r="E3" s="28" t="str">
        <x:v>Au cours d’un atelier citoyen, votre groupe discute de la manière dont les valeurs républicaines s’appliquent au quotidien. Un proche pense que la bonne réponse pourrait être « Son origine ». Aidez-le à raisonner.</x:v>
      </x:c>
      <x:c r="F3" s="28" t="str">
        <x:v>Dans le cadre d'un entretien d'embauche, que peut-on demander au candidat ?</x:v>
      </x:c>
      <x:c r="G3" s="28" t="str">
        <x:v>Sa religion.</x:v>
      </x:c>
      <x:c r="H3" s="28" t="str">
        <x:v>Uniquement des questions en lien avec l'emploi proposé et les compétences du candidat.</x:v>
      </x:c>
      <x:c r="I3" s="28" t="str">
        <x:v>Son origine.</x:v>
      </x:c>
      <x:c r="J3" s="28" t="str">
        <x:v>Ses opinions politiques.</x:v>
      </x:c>
      <x:c r="K3" s="32" t="str">
        <x:v>B</x:v>
      </x:c>
      <x:c r="L3" s="28" t="str">
        <x:v>La bonne réponse est « Uniquement des questions en lien avec l'emploi proposé et les compétences du candidat ». Lors d'un recrutement, l'employeur ne peut poser que des questions ayant un lien direct avec l'emploi proposé. Les discriminations sont interdites.</x:v>
      </x:c>
      <x:c r="M3" s="29" t="str">
        <x:v>Entretien; Emploi; Discrimination</x:v>
      </x:c>
    </x:row>
    <x:row r="4">
      <x:c r="A4" s="24" t="str">
        <x:v>MS-NAT-T1-003</x:v>
      </x:c>
      <x:c r="B4" s="25" t="str">
        <x:v>NAT-T1-003</x:v>
      </x:c>
      <x:c r="C4" s="25" t="str">
        <x:v>Principes et valeurs de la République</x:v>
      </x:c>
      <x:c r="D4" s="25" t="str">
        <x:v>🟡 Intermédiaire</x:v>
      </x:c>
      <x:c r="E4" s="28" t="str">
        <x:v>Une personne de votre entourage prépare son entretien de naturalisation et vous demande de l’aider sur un principe républicain. Dans le groupe, la réponse « Réservé aux propriétaires » est avancée. Vous devez déterminer si elle est correcte.</x:v>
      </x:c>
      <x:c r="F4" s="28" t="str">
        <x:v>Déclarer ses revenus aux services fiscaux est :</x:v>
      </x:c>
      <x:c r="G4" s="28" t="str">
        <x:v>Facultatif.</x:v>
      </x:c>
      <x:c r="H4" s="28" t="str">
        <x:v>Réservé aux salariés.</x:v>
      </x:c>
      <x:c r="I4" s="28" t="str">
        <x:v>Une obligation.</x:v>
      </x:c>
      <x:c r="J4" s="28" t="str">
        <x:v>Réservé aux propriétaires.</x:v>
      </x:c>
      <x:c r="K4" s="32" t="str">
        <x:v>C</x:v>
      </x:c>
      <x:c r="L4" s="28" t="str">
        <x:v>La bonne réponse est « Une obligation ». La déclaration des revenus permet à l'administration fiscale de calculer les impôts et certains droits sociaux. Elle constitue une obligation pour les personnes concernées.</x:v>
      </x:c>
      <x:c r="M4" s="29" t="str">
        <x:v>Impôts; Déclaration; Revenus</x:v>
      </x:c>
    </x:row>
    <x:row r="5">
      <x:c r="A5" s="24" t="str">
        <x:v>MS-NAT-T1-004</x:v>
      </x:c>
      <x:c r="B5" s="25" t="str">
        <x:v>NAT-T1-004</x:v>
      </x:c>
      <x:c r="C5" s="25" t="str">
        <x:v>Principes et valeurs de la République</x:v>
      </x:c>
      <x:c r="D5" s="25" t="str">
        <x:v>🟡 Intermédiaire</x:v>
      </x:c>
      <x:c r="E5" s="28" t="str">
        <x:v>Pendant une discussion sur la citoyenneté française, un proche hésite sur une règle ou un symbole de la République. Une personne hésite et choisit « Ils financent uniquement les salaires des élus ». Vous l’aidez à retrouver la règle ou le repère juste.</x:v>
      </x:c>
      <x:c r="F5" s="28" t="str">
        <x:v>En France, les impôts permettent de financer les dépenses publiques. Quelle proposition est correcte ?</x:v>
      </x:c>
      <x:c r="G5" s="28" t="str">
        <x:v>Ils financent uniquement les salaires des élus.</x:v>
      </x:c>
      <x:c r="H5" s="28" t="str">
        <x:v>Ils sont reversés directement aux entreprises.</x:v>
      </x:c>
      <x:c r="I5" s="28" t="str">
        <x:v>Ils ne financent que l'armée.</x:v>
      </x:c>
      <x:c r="J5" s="28" t="str">
        <x:v>Ils financent notamment les écoles, les hôpitaux, la police et les routes.</x:v>
      </x:c>
      <x:c r="K5" s="32" t="str">
        <x:v>D</x:v>
      </x:c>
      <x:c r="L5" s="28" t="str">
        <x:v>La bonne réponse est « Ils financent notamment les écoles, les hôpitaux, la police et les routes ». Les impôts servent à financer les services publics utilisés par tous : éducation, santé, sécurité, justice, transports, etc.</x:v>
      </x:c>
      <x:c r="M5" s="29" t="str">
        <x:v>Impôts; Services publics</x:v>
      </x:c>
    </x:row>
    <x:row r="6">
      <x:c r="A6" s="24" t="str">
        <x:v>MS-NAT-T1-005</x:v>
      </x:c>
      <x:c r="B6" s="25" t="str">
        <x:v>NAT-T1-005</x:v>
      </x:c>
      <x:c r="C6" s="25" t="str">
        <x:v>Principes et valeurs de la République</x:v>
      </x:c>
      <x:c r="D6" s="25" t="str">
        <x:v>🟡 Intermédiaire</x:v>
      </x:c>
      <x:c r="E6" s="28" t="str">
        <x:v>Lors d’un échange dans une association locale, une personne souhaite mieux comprendre les principes et les symboles de la République. Un participant propose la réponse « Une association réservée aux citoyens français ». Vous devez vérifier cette affirmation.</x:v>
      </x:c>
      <x:c r="F6" s="28" t="str">
        <x:v>La liberté d'association est :</x:v>
      </x:c>
      <x:c r="G6" s="28" t="str">
        <x:v>Le droit de créer une association, d'y adhérer ou non.</x:v>
      </x:c>
      <x:c r="H6" s="28" t="str">
        <x:v>L'obligation d'adhérer à une association.</x:v>
      </x:c>
      <x:c r="I6" s="28" t="str">
        <x:v>Une association réservée aux citoyens français.</x:v>
      </x:c>
      <x:c r="J6" s="28" t="str">
        <x:v>L'interdiction de créer une association sans autorisation de l'État.</x:v>
      </x:c>
      <x:c r="K6" s="32" t="str">
        <x:v>A</x:v>
      </x:c>
      <x:c r="L6" s="28" t="str">
        <x:v>La bonne réponse est « Le droit de créer une association, d'y adhérer ou non ». La liberté d'association est une liberté fondamentale. Chacun est libre de créer une association, d'y adhérer ou de ne pas y adhérer.</x:v>
      </x:c>
      <x:c r="M6" s="29" t="str">
        <x:v>Association; Liberté; République</x:v>
      </x:c>
    </x:row>
    <x:row r="7">
      <x:c r="A7" s="24" t="str">
        <x:v>MS-NAT-T1-006</x:v>
      </x:c>
      <x:c r="B7" s="25" t="str">
        <x:v>NAT-T1-006</x:v>
      </x:c>
      <x:c r="C7" s="25" t="str">
        <x:v>Principes et valeurs de la République</x:v>
      </x:c>
      <x:c r="D7" s="25" t="str">
        <x:v>🟡 Intermédiaire</x:v>
      </x:c>
      <x:c r="E7" s="28" t="str">
        <x:v>Au cours d’un atelier citoyen, votre groupe discute de la manière dont les valeurs républicaines s’appliquent au quotidien. Un proche pense que la bonne réponse pourrait être « Réservée aux journalistes ». Aidez-le à raisonner.</x:v>
      </x:c>
      <x:c r="F7" s="28" t="str">
        <x:v>La liberté d'expression sur les réseaux sociaux en France est :</x:v>
      </x:c>
      <x:c r="G7" s="28" t="str">
        <x:v>Totalement libre, sans aucune limite.</x:v>
      </x:c>
      <x:c r="H7" s="28" t="str">
        <x:v>Garantie mais encadrée par la loi (interdiction de la haine, de la diffamation, des injures...).</x:v>
      </x:c>
      <x:c r="I7" s="28" t="str">
        <x:v>Interdite sur Internet.</x:v>
      </x:c>
      <x:c r="J7" s="28" t="str">
        <x:v>Réservée aux journalistes.</x:v>
      </x:c>
      <x:c r="K7" s="32" t="str">
        <x:v>B</x:v>
      </x:c>
      <x:c r="L7" s="28" t="str">
        <x:v>La bonne réponse est « Garantie mais encadrée par la loi (interdiction de la haine, de la diffamation, des injures...) ». La liberté d'expression s'applique aussi sur Internet et les réseaux sociaux. Cependant, elle ne permet pas d'insulter, de diffamer, de harceler ou d'inciter à la haine ou à la violence.</x:v>
      </x:c>
      <x:c r="M7" s="29" t="str">
        <x:v>Liberté d'expression; Réseaux sociaux; Loi</x:v>
      </x:c>
    </x:row>
    <x:row r="8">
      <x:c r="A8" s="24" t="str">
        <x:v>MS-NAT-T1-007</x:v>
      </x:c>
      <x:c r="B8" s="25" t="str">
        <x:v>NAT-T1-007</x:v>
      </x:c>
      <x:c r="C8" s="25" t="str">
        <x:v>Principes et valeurs de la République</x:v>
      </x:c>
      <x:c r="D8" s="25" t="str">
        <x:v>🟡 Intermédiaire</x:v>
      </x:c>
      <x:c r="E8" s="28" t="str">
        <x:v>Une personne de votre entourage prépare son entretien de naturalisation et vous demande de l’aider sur un principe républicain. Dans le groupe, la réponse « Jeanne » est avancée. Vous devez déterminer si elle est correcte.</x:v>
      </x:c>
      <x:c r="F8" s="28" t="str">
        <x:v>Quel prénom évoque un symbole de la République ?</x:v>
      </x:c>
      <x:c r="G8" s="28" t="str">
        <x:v>Jeanne.</x:v>
      </x:c>
      <x:c r="H8" s="28" t="str">
        <x:v>Marie.</x:v>
      </x:c>
      <x:c r="I8" s="28" t="str">
        <x:v>Marianne.</x:v>
      </x:c>
      <x:c r="J8" s="28" t="str">
        <x:v>Louise.</x:v>
      </x:c>
      <x:c r="K8" s="32" t="str">
        <x:v>C</x:v>
      </x:c>
      <x:c r="L8" s="28" t="str">
        <x:v>La bonne réponse est « Marianne ». Marianne est la représentation symbolique de la République française. Elle incarne les valeurs de liberté, d'égalité et de fraternité.</x:v>
      </x:c>
      <x:c r="M8" s="29" t="str">
        <x:v>Marianne; République; Symbole</x:v>
      </x:c>
    </x:row>
    <x:row r="9">
      <x:c r="A9" s="24" t="str">
        <x:v>MS-NAT-T1-008</x:v>
      </x:c>
      <x:c r="B9" s="25" t="str">
        <x:v>NAT-T1-008</x:v>
      </x:c>
      <x:c r="C9" s="25" t="str">
        <x:v>Principes et valeurs de la République</x:v>
      </x:c>
      <x:c r="D9" s="25" t="str">
        <x:v>🔴 Difficile</x:v>
      </x:c>
      <x:c r="E9" s="28" t="str">
        <x:v>Pendant une discussion sur la citoyenneté française, un proche hésite sur une règle ou un symbole de la République. Une personne hésite et choisit « Le béret ». Vous l’aidez à retrouver la règle ou le repère juste.</x:v>
      </x:c>
      <x:c r="F9" s="28" t="str">
        <x:v>Citez un symbole qui représente officiellement la République française.</x:v>
      </x:c>
      <x:c r="G9" s="28" t="str">
        <x:v>La tour Eiffel.</x:v>
      </x:c>
      <x:c r="H9" s="28" t="str">
        <x:v>Le béret.</x:v>
      </x:c>
      <x:c r="I9" s="28" t="str">
        <x:v>Le coq.</x:v>
      </x:c>
      <x:c r="J9" s="28" t="str">
        <x:v>Marianne.</x:v>
      </x:c>
      <x:c r="K9" s="32" t="str">
        <x:v>D</x:v>
      </x:c>
      <x:c r="L9" s="28" t="str">
        <x:v>La bonne réponse est « Marianne ». Les principaux symboles officiels de la République sont le drapeau tricolore, Marianne, la Marseillaise et la devise « Liberté, Égalité, Fraternité ». Le coq, la tour Eiffel et le béret n'en font pas partie.</x:v>
      </x:c>
      <x:c r="M9" s="29" t="str">
        <x:v>République; Drapeau; Marianne; Marseillaise; Devise</x:v>
      </x:c>
    </x:row>
    <x:row r="10">
      <x:c r="A10" s="24" t="str">
        <x:v>MS-NAT-T1-009</x:v>
      </x:c>
      <x:c r="B10" s="25" t="str">
        <x:v>NAT-T1-009</x:v>
      </x:c>
      <x:c r="C10" s="25" t="str">
        <x:v>Principes et valeurs de la République</x:v>
      </x:c>
      <x:c r="D10" s="25" t="str">
        <x:v>🟡 Intermédiaire</x:v>
      </x:c>
      <x:c r="E10" s="28" t="str">
        <x:v>Lors d’un échange dans une association locale, une personne souhaite mieux comprendre les principes et les symboles de la République. Un participant propose la réponse « Uniquement sur les passeports étrangers ». Vous devez vérifier cette affirmation.</x:v>
      </x:c>
      <x:c r="F10" s="28" t="str">
        <x:v>Où peut-on voir la devise de la République ?</x:v>
      </x:c>
      <x:c r="G10" s="28" t="str">
        <x:v>Sur les bâtiments publics, notamment les mairies et les écoles.</x:v>
      </x:c>
      <x:c r="H10" s="28" t="str">
        <x:v>Uniquement sur les permis de conduire.</x:v>
      </x:c>
      <x:c r="I10" s="28" t="str">
        <x:v>Uniquement sur les billets en euros.</x:v>
      </x:c>
      <x:c r="J10" s="28" t="str">
        <x:v>Uniquement sur les passeports étrangers.</x:v>
      </x:c>
      <x:c r="K10" s="32" t="str">
        <x:v>A</x:v>
      </x:c>
      <x:c r="L10" s="28" t="str">
        <x:v>La bonne réponse est « Sur les bâtiments publics, notamment les mairies et les écoles ». La devise « Liberté, Égalité, Fraternité » est visible sur de nombreux bâtiments publics, notamment les mairies et les établissements scolaires.</x:v>
      </x:c>
      <x:c r="M10" s="29" t="str">
        <x:v>Devise; Mairie; École</x:v>
      </x:c>
    </x:row>
    <x:row r="11">
      <x:c r="A11" s="24" t="str">
        <x:v>MS-NAT-T1-010</x:v>
      </x:c>
      <x:c r="B11" s="25" t="str">
        <x:v>NAT-T1-010</x:v>
      </x:c>
      <x:c r="C11" s="25" t="str">
        <x:v>Principes et valeurs de la République</x:v>
      </x:c>
      <x:c r="D11" s="25" t="str">
        <x:v>🔴 Difficile</x:v>
      </x:c>
      <x:c r="E11" s="28" t="str">
        <x:v>Au cours d’un atelier citoyen, votre groupe discute de la manière dont les valeurs républicaines s’appliquent au quotidien. Un proche pense que la bonne réponse pourrait être « Le coq, la tour Eiffel, le béret et la baguette ». Aidez-le à raisonner.</x:v>
      </x:c>
      <x:c r="F11" s="28" t="str">
        <x:v>Citez tous les symboles officiels de la République française.</x:v>
      </x:c>
      <x:c r="G11" s="28" t="str">
        <x:v>Le coq, la tour Eiffel, le béret et la baguette.</x:v>
      </x:c>
      <x:c r="H11" s="28" t="str">
        <x:v>Le drapeau tricolore, Marianne, la Marseillaise et la devise.</x:v>
      </x:c>
      <x:c r="I11" s="28" t="str">
        <x:v>La tour Eiffel et le Louvre.</x:v>
      </x:c>
      <x:c r="J11" s="28" t="str">
        <x:v>Le béret et la baguette.</x:v>
      </x:c>
      <x:c r="K11" s="32" t="str">
        <x:v>B</x:v>
      </x:c>
      <x:c r="L11" s="28" t="str">
        <x:v>La bonne réponse est « Le drapeau tricolore, Marianne, la Marseillaise et la devise ». Les quatre symboles officiels de la République française sont le drapeau tricolore, Marianne, la Marseillaise et la devise « Liberté, Égalité, Fraternité ».</x:v>
      </x:c>
      <x:c r="M11" s="29" t="str">
        <x:v>Drapeau; Marianne; Marseillaise; Devise; République</x:v>
      </x:c>
    </x:row>
    <x:row r="12">
      <x:c r="A12" s="24" t="str">
        <x:v>MS-NAT-T1-011</x:v>
      </x:c>
      <x:c r="B12" s="25" t="str">
        <x:v>NAT-T1-011</x:v>
      </x:c>
      <x:c r="C12" s="25" t="str">
        <x:v>Principes et valeurs de la République</x:v>
      </x:c>
      <x:c r="D12" s="25" t="str">
        <x:v>🟢 Facile</x:v>
      </x:c>
      <x:c r="E12" s="28" t="str">
        <x:v>Une personne de votre entourage prépare son entretien de naturalisation et vous demande de l’aider sur un principe républicain. Dans le groupe, la réponse « Oui, si c'est dans le cadre d'une manifestation » est avancée. Vous devez déterminer si elle est correcte.</x:v>
      </x:c>
      <x:c r="F12" s="28" t="str">
        <x:v>Peut-on brûler publiquement un drapeau français ?</x:v>
      </x:c>
      <x:c r="G12" s="28" t="str">
        <x:v>Oui.</x:v>
      </x:c>
      <x:c r="H12" s="28" t="str">
        <x:v>Oui, si c'est dans le cadre d'une manifestation.</x:v>
      </x:c>
      <x:c r="I12" s="28" t="str">
        <x:v>Non, cet acte peut être sanctionné par la loi.</x:v>
      </x:c>
      <x:c r="J12" s="28" t="str">
        <x:v>Oui, au nom de la liberté d'expression.</x:v>
      </x:c>
      <x:c r="K12" s="32" t="str">
        <x:v>C</x:v>
      </x:c>
      <x:c r="L12" s="28" t="str">
        <x:v>La bonne réponse est « Non, cet acte peut être sanctionné par la loi ». Le drapeau tricolore est un symbole de la République. Son outrage public est réprimé dans les cas prévus par la loi.</x:v>
      </x:c>
      <x:c r="M12" s="29" t="str">
        <x:v>Drapeau; République; Symbole</x:v>
      </x:c>
    </x:row>
    <x:row r="13">
      <x:c r="A13" s="24" t="str">
        <x:v>MS-NAT-T1-012</x:v>
      </x:c>
      <x:c r="B13" s="25" t="str">
        <x:v>NAT-T1-012</x:v>
      </x:c>
      <x:c r="C13" s="25" t="str">
        <x:v>Principes et valeurs de la République</x:v>
      </x:c>
      <x:c r="D13" s="25" t="str">
        <x:v>🔴 Difficile</x:v>
      </x:c>
      <x:c r="E13" s="28" t="str">
        <x:v>Pendant une discussion sur la citoyenneté française, un proche hésite sur une règle ou un symbole de la République. Une personne hésite et choisit « 1958 ». Vous l’aidez à retrouver la règle ou le repère juste.</x:v>
      </x:c>
      <x:c r="F13" s="28" t="str">
        <x:v>Quand la Sécurité sociale a-t-elle été établie en France ?</x:v>
      </x:c>
      <x:c r="G13" s="28" t="str">
        <x:v>1789.</x:v>
      </x:c>
      <x:c r="H13" s="28" t="str">
        <x:v>1905.</x:v>
      </x:c>
      <x:c r="I13" s="28" t="str">
        <x:v>1958.</x:v>
      </x:c>
      <x:c r="J13" s="28" t="str">
        <x:v>1945.</x:v>
      </x:c>
      <x:c r="K13" s="32" t="str">
        <x:v>D</x:v>
      </x:c>
      <x:c r="L13" s="28" t="str">
        <x:v>La bonne réponse est « 1945 ». La Sécurité sociale a été créée en 1945, après la Seconde Guerre mondiale, afin de protéger les personnes contre les principaux risques de la vie (maladie, vieillesse, famille, accidents du travail...).</x:v>
      </x:c>
      <x:c r="M13" s="29" t="str">
        <x:v>Sécurité sociale; 1945; Protection sociale</x:v>
      </x:c>
    </x:row>
    <x:row r="14">
      <x:c r="A14" s="24" t="str">
        <x:v>MS-NAT-T1-013</x:v>
      </x:c>
      <x:c r="B14" s="25" t="str">
        <x:v>NAT-T1-013</x:v>
      </x:c>
      <x:c r="C14" s="25" t="str">
        <x:v>Principes et valeurs de la République</x:v>
      </x:c>
      <x:c r="D14" s="25" t="str">
        <x:v>🟡 Intermédiaire</x:v>
      </x:c>
      <x:c r="E14" s="28" t="str">
        <x:v>Lors d’un échange dans une association locale, une personne souhaite mieux comprendre les principes et les symboles de la République. Un participant propose la réponse « La fin de la Seconde Guerre mondiale ». Vous devez vérifier cette affirmation.</x:v>
      </x:c>
      <x:c r="F14" s="28" t="str">
        <x:v>Que commémore la fête nationale ?</x:v>
      </x:c>
      <x:c r="G14" s="28" t="str">
        <x:v>La prise de la Bastille en 1789 et la Fête de la Fédération de 1790.</x:v>
      </x:c>
      <x:c r="H14" s="28" t="str">
        <x:v>La fin de la Seconde Guerre mondiale.</x:v>
      </x:c>
      <x:c r="I14" s="28" t="str">
        <x:v>La signature de la Constitution.</x:v>
      </x:c>
      <x:c r="J14" s="28" t="str">
        <x:v>La création de l'Union européenne.</x:v>
      </x:c>
      <x:c r="K14" s="32" t="str">
        <x:v>A</x:v>
      </x:c>
      <x:c r="L14" s="28" t="str">
        <x:v>La bonne réponse est « La prise de la Bastille en 1789 et la Fête de la Fédération de 1790 ». Le 14 juillet est la fête nationale française. Elle rappelle la Révolution française et l'attachement aux valeurs de la République.</x:v>
      </x:c>
      <x:c r="M14" s="29" t="str">
        <x:v>14 juillet; Bastille; Révolution française</x:v>
      </x:c>
    </x:row>
    <x:row r="15">
      <x:c r="A15" s="24" t="str">
        <x:v>MS-NAT-T1-014</x:v>
      </x:c>
      <x:c r="B15" s="25" t="str">
        <x:v>NAT-T1-014</x:v>
      </x:c>
      <x:c r="C15" s="25" t="str">
        <x:v>Principes et valeurs de la République</x:v>
      </x:c>
      <x:c r="D15" s="25" t="str">
        <x:v>🔴 Difficile</x:v>
      </x:c>
      <x:c r="E15" s="28" t="str">
        <x:v>Au cours d’un atelier citoyen, votre groupe discute de la manière dont les valeurs républicaines s’appliquent au quotidien. Un proche pense que la bonne réponse pourrait être « Un casque ». Aidez-le à raisonner.</x:v>
      </x:c>
      <x:c r="F15" s="28" t="str">
        <x:v>Que porte Marianne sur la tête ?</x:v>
      </x:c>
      <x:c r="G15" s="28" t="str">
        <x:v>Une couronne.</x:v>
      </x:c>
      <x:c r="H15" s="28" t="str">
        <x:v>Un bonnet phrygien.</x:v>
      </x:c>
      <x:c r="I15" s="28" t="str">
        <x:v>Un casque.</x:v>
      </x:c>
      <x:c r="J15" s="28" t="str">
        <x:v>Un béret.</x:v>
      </x:c>
      <x:c r="K15" s="32" t="str">
        <x:v>B</x:v>
      </x:c>
      <x:c r="L15" s="28" t="str">
        <x:v>La bonne réponse est « Un bonnet phrygien ». Le bonnet phrygien est un symbole de liberté hérité de la Révolution française. Il est porté par Marianne, figure emblématique de la République.</x:v>
      </x:c>
      <x:c r="M15" s="29" t="str">
        <x:v>Marianne; Bonnet phrygien; République</x:v>
      </x:c>
    </x:row>
    <x:row r="16">
      <x:c r="A16" s="24" t="str">
        <x:v>MS-NAT-T1-015</x:v>
      </x:c>
      <x:c r="B16" s="25" t="str">
        <x:v>NAT-T1-015</x:v>
      </x:c>
      <x:c r="C16" s="25" t="str">
        <x:v>Principes et valeurs de la République</x:v>
      </x:c>
      <x:c r="D16" s="25" t="str">
        <x:v>🔴 Difficile</x:v>
      </x:c>
      <x:c r="E16" s="28" t="str">
        <x:v>Une personne de votre entourage prépare son entretien de naturalisation et vous demande de l’aider sur un principe républicain. Dans le groupe, la réponse « Penser tous la même chose » est avancée. Vous devez déterminer si elle est correcte.</x:v>
      </x:c>
      <x:c r="F16" s="28" t="str">
        <x:v>Que signifie le mot « fraternité » dans la devise française ?</x:v>
      </x:c>
      <x:c r="G16" s="28" t="str">
        <x:v>Être tous de la même famille.</x:v>
      </x:c>
      <x:c r="H16" s="28" t="str">
        <x:v>Avoir la même religion.</x:v>
      </x:c>
      <x:c r="I16" s="28" t="str">
        <x:v>La solidarité, l'entraide et le respect entre toutes les personnes.</x:v>
      </x:c>
      <x:c r="J16" s="28" t="str">
        <x:v>Penser tous la même chose.</x:v>
      </x:c>
      <x:c r="K16" s="32" t="str">
        <x:v>C</x:v>
      </x:c>
      <x:c r="L16" s="28" t="str">
        <x:v>La bonne réponse est « La solidarité, l'entraide et le respect entre toutes les personnes ». La fraternité est l'une des trois valeurs de la devise républicaine. Elle invite chacun à vivre ensemble dans le respect, la solidarité et l'entraide.</x:v>
      </x:c>
      <x:c r="M16" s="29" t="str">
        <x:v>Fraternité; Solidarité; Devise</x:v>
      </x:c>
    </x:row>
    <x:row r="17">
      <x:c r="A17" s="24" t="str">
        <x:v>MS-NAT-T1-016</x:v>
      </x:c>
      <x:c r="B17" s="25" t="str">
        <x:v>NAT-T1-016</x:v>
      </x:c>
      <x:c r="C17" s="25" t="str">
        <x:v>Principes et valeurs de la République</x:v>
      </x:c>
      <x:c r="D17" s="25" t="str">
        <x:v>🟡 Intermédiaire</x:v>
      </x:c>
      <x:c r="E17" s="28" t="str">
        <x:v>Pendant une discussion sur la citoyenneté française, un proche hésite sur une règle ou un symbole de la République. Une personne hésite et choisit « Marianne ». Vous l’aidez à retrouver la règle ou le repère juste.</x:v>
      </x:c>
      <x:c r="F17" s="28" t="str">
        <x:v>Quel symbole de la République peut-on voir sur les maillots de l'équipe de France de football ?</x:v>
      </x:c>
      <x:c r="G17" s="28" t="str">
        <x:v>Marianne.</x:v>
      </x:c>
      <x:c r="H17" s="28" t="str">
        <x:v>Le drapeau.</x:v>
      </x:c>
      <x:c r="I17" s="28" t="str">
        <x:v>La tour Eiffel.</x:v>
      </x:c>
      <x:c r="J17" s="28" t="str">
        <x:v>Le coq.</x:v>
      </x:c>
      <x:c r="K17" s="32" t="str">
        <x:v>D</x:v>
      </x:c>
      <x:c r="L17" s="28" t="str">
        <x:v>La bonne réponse est « Le coq ». Le coq gaulois est un symbole traditionnel de la France. Il figure notamment sur les maillots de nombreuses équipes nationales sportives, mais ne fait pas partie des symboles officiels de la République.</x:v>
      </x:c>
      <x:c r="M17" s="29" t="str">
        <x:v>Coq; Équipe de France; Sport</x:v>
      </x:c>
    </x:row>
    <x:row r="18">
      <x:c r="A18" s="24" t="str">
        <x:v>MS-NAT-T1-017</x:v>
      </x:c>
      <x:c r="B18" s="25" t="str">
        <x:v>NAT-T1-017</x:v>
      </x:c>
      <x:c r="C18" s="25" t="str">
        <x:v>Principes et valeurs de la République</x:v>
      </x:c>
      <x:c r="D18" s="25" t="str">
        <x:v>🟡 Intermédiaire</x:v>
      </x:c>
      <x:c r="E18" s="28" t="str">
        <x:v>Lors d’un échange dans une association locale, une personne souhaite mieux comprendre les principes et les symboles de la République. Un participant propose la réponse « Égalité, Travail, Patrie ». Vous devez vérifier cette affirmation.</x:v>
      </x:c>
      <x:c r="F18" s="28" t="str">
        <x:v>Quelle est la devise de la République française ?</x:v>
      </x:c>
      <x:c r="G18" s="28" t="str">
        <x:v>Liberté, Égalité, Fraternité.</x:v>
      </x:c>
      <x:c r="H18" s="28" t="str">
        <x:v>Liberté, Justice, Fraternité.</x:v>
      </x:c>
      <x:c r="I18" s="28" t="str">
        <x:v>Égalité, Travail, Patrie.</x:v>
      </x:c>
      <x:c r="J18" s="28" t="str">
        <x:v>Liberté, Solidarité, Égalité.</x:v>
      </x:c>
      <x:c r="K18" s="32" t="str">
        <x:v>A</x:v>
      </x:c>
      <x:c r="L18" s="28" t="str">
        <x:v>La bonne réponse est « Liberté, Égalité, Fraternité ». La devise de la République française est « Liberté, Égalité, Fraternité ». Elle exprime les valeurs fondamentales de la République.</x:v>
      </x:c>
      <x:c r="M18" s="29" t="str">
        <x:v>Devise; Liberté; Égalité; Fraternité</x:v>
      </x:c>
    </x:row>
    <x:row r="19">
      <x:c r="A19" s="24" t="str">
        <x:v>MS-NAT-T1-018</x:v>
      </x:c>
      <x:c r="B19" s="25" t="str">
        <x:v>NAT-T1-018</x:v>
      </x:c>
      <x:c r="C19" s="25" t="str">
        <x:v>Principes et valeurs de la République</x:v>
      </x:c>
      <x:c r="D19" s="25" t="str">
        <x:v>🔴 Difficile</x:v>
      </x:c>
      <x:c r="E19" s="28" t="str">
        <x:v>Au cours d’un atelier citoyen, votre groupe discute de la manière dont les valeurs républicaines s’appliquent au quotidien. Un proche pense que la bonne réponse pourrait être « Une association ne peut être créée qu'avec l'autorisation de l'État ». Aidez-le à raisonner.</x:v>
      </x:c>
      <x:c r="F19" s="28" t="str">
        <x:v>Qu'est-ce que la liberté d'association ?</x:v>
      </x:c>
      <x:c r="G19" s="28" t="str">
        <x:v>Il faut obligatoirement adhérer à une association.</x:v>
      </x:c>
      <x:c r="H19" s="28" t="str">
        <x:v>La liberté de créer une association, d'y adhérer ou de ne pas y adhérer.</x:v>
      </x:c>
      <x:c r="I19" s="28" t="str">
        <x:v>Seuls les Français peuvent créer une association.</x:v>
      </x:c>
      <x:c r="J19" s="28" t="str">
        <x:v>Une association ne peut être créée qu'avec l'autorisation de l'État.</x:v>
      </x:c>
      <x:c r="K19" s="32" t="str">
        <x:v>B</x:v>
      </x:c>
      <x:c r="L19" s="28" t="str">
        <x:v>La bonne réponse est « La liberté de créer une association, d'y adhérer ou de ne pas y adhérer ». La liberté d'association est une liberté fondamentale garantie par la loi. Elle permet à chacun de participer librement à la vie associative.</x:v>
      </x:c>
      <x:c r="M19" s="29" t="str">
        <x:v>Association; Liberté; Citoyenneté</x:v>
      </x:c>
    </x:row>
    <x:row r="20">
      <x:c r="A20" s="24" t="str">
        <x:v>MS-NAT-T1-019</x:v>
      </x:c>
      <x:c r="B20" s="25" t="str">
        <x:v>NAT-T1-019</x:v>
      </x:c>
      <x:c r="C20" s="25" t="str">
        <x:v>Principes et valeurs de la République</x:v>
      </x:c>
      <x:c r="D20" s="25" t="str">
        <x:v>🔴 Difficile</x:v>
      </x:c>
      <x:c r="E20" s="28" t="str">
        <x:v>Une personne de votre entourage prépare son entretien de naturalisation et vous demande de l’aider sur un principe républicain. Dans le groupe, la réponse « Faire tout ce que l'on veut » est avancée. Vous devez déterminer si elle est correcte.</x:v>
      </x:c>
      <x:c r="F20" s="28" t="str">
        <x:v>Qu'est-ce qu'une liberté ?</x:v>
      </x:c>
      <x:c r="G20" s="28" t="str">
        <x:v>Faire tout ce que l'on veut.</x:v>
      </x:c>
      <x:c r="H20" s="28" t="str">
        <x:v>Ne respecter aucune règle.</x:v>
      </x:c>
      <x:c r="I20" s="28" t="str">
        <x:v>Le droit de faire ce que la loi autorise, dans le respect des droits des autres.</x:v>
      </x:c>
      <x:c r="J20" s="28" t="str">
        <x:v>Être au-dessus des lois.</x:v>
      </x:c>
      <x:c r="K20" s="32" t="str">
        <x:v>C</x:v>
      </x:c>
      <x:c r="L20" s="28" t="str">
        <x:v>La bonne réponse est « Le droit de faire ce que la loi autorise, dans le respect des droits des autres ». Les libertés sont garanties par la République, mais elles s'exercent dans le respect des lois et des droits d'autrui.</x:v>
      </x:c>
      <x:c r="M20" s="29" t="str">
        <x:v>Liberté; Loi; Respect</x:v>
      </x:c>
    </x:row>
    <x:row r="21">
      <x:c r="A21" s="24" t="str">
        <x:v>MS-NAT-T1-020</x:v>
      </x:c>
      <x:c r="B21" s="25" t="str">
        <x:v>NAT-T1-020</x:v>
      </x:c>
      <x:c r="C21" s="25" t="str">
        <x:v>Principes et valeurs de la République</x:v>
      </x:c>
      <x:c r="D21" s="25" t="str">
        <x:v>🟡 Intermédiaire</x:v>
      </x:c>
      <x:c r="E21" s="28" t="str">
        <x:v>Pendant une discussion sur la citoyenneté française, un proche hésite sur une règle ou un symbole de la République. Une personne hésite et choisit « Indivisible, catholique, démocratique et sociale ». Vous l’aidez à retrouver la règle ou le repère juste.</x:v>
      </x:c>
      <x:c r="F21" s="28" t="str">
        <x:v>Selon la Constitution, la France est une République...</x:v>
      </x:c>
      <x:c r="G21" s="28" t="str">
        <x:v>Fédérale, religieuse, démocratique et sociale.</x:v>
      </x:c>
      <x:c r="H21" s="28" t="str">
        <x:v>Indivisible, catholique, démocratique et sociale.</x:v>
      </x:c>
      <x:c r="I21" s="28" t="str">
        <x:v>Indivisible, laïque, monarchique et sociale.</x:v>
      </x:c>
      <x:c r="J21" s="28" t="str">
        <x:v>Indivisible, laïque, démocratique et sociale.</x:v>
      </x:c>
      <x:c r="K21" s="32" t="str">
        <x:v>D</x:v>
      </x:c>
      <x:c r="L21" s="28" t="str">
        <x:v>La bonne réponse est « Indivisible, laïque, démocratique et sociale ». L'article 1er de la Constitution dispose que « La France est une République indivisible, laïque, démocratique et sociale. »</x:v>
      </x:c>
      <x:c r="M21" s="29" t="str">
        <x:v>Constitution; Article 1; République</x:v>
      </x:c>
    </x:row>
    <x:row r="22">
      <x:c r="A22" s="24" t="str">
        <x:v>MS-NAT-T1-021</x:v>
      </x:c>
      <x:c r="B22" s="25" t="str">
        <x:v>NAT-T1-021</x:v>
      </x:c>
      <x:c r="C22" s="25" t="str">
        <x:v>Principes et valeurs de la République</x:v>
      </x:c>
      <x:c r="D22" s="25" t="str">
        <x:v>🔴 Difficile</x:v>
      </x:c>
      <x:c r="E22" s="28" t="str">
        <x:v>Lors d’un échange dans une association locale, une personne souhaite mieux comprendre les principes et les symboles de la République. Un participant propose la réponse « Uniquement sur les passeports étrangers ». Vous devez vérifier cette affirmation.</x:v>
      </x:c>
      <x:c r="F22" s="28" t="str">
        <x:v>Sur quel document peut-on voir Marianne ?</x:v>
      </x:c>
      <x:c r="G22" s="28" t="str">
        <x:v>Sur les timbres, les pièces de monnaie ou les documents officiels de la République.</x:v>
      </x:c>
      <x:c r="H22" s="28" t="str">
        <x:v>Uniquement sur le permis de conduire.</x:v>
      </x:c>
      <x:c r="I22" s="28" t="str">
        <x:v>Uniquement sur les billets en euros.</x:v>
      </x:c>
      <x:c r="J22" s="28" t="str">
        <x:v>Uniquement sur les passeports étrangers.</x:v>
      </x:c>
      <x:c r="K22" s="32" t="str">
        <x:v>A</x:v>
      </x:c>
      <x:c r="L22" s="28" t="str">
        <x:v>La bonne réponse est « Sur les timbres, les pièces de monnaie ou les documents officiels de la République ». Marianne est la représentation officielle de la République française. Son effigie est présente sur plusieurs documents et symboles officiels.</x:v>
      </x:c>
      <x:c r="M22" s="29" t="str">
        <x:v>Marianne; Timbres; Pièces; République</x:v>
      </x:c>
    </x:row>
    <x:row r="23">
      <x:c r="A23" s="24" t="str">
        <x:v>MS-NAT-T1-022</x:v>
      </x:c>
      <x:c r="B23" s="25" t="str">
        <x:v>NAT-T1-022</x:v>
      </x:c>
      <x:c r="C23" s="25" t="str">
        <x:v>Principes et valeurs de la République</x:v>
      </x:c>
      <x:c r="D23" s="25" t="str">
        <x:v>🔴 Difficile</x:v>
      </x:c>
      <x:c r="E23" s="28" t="str">
        <x:v>Au cours d’un atelier citoyen, votre groupe discute de la manière dont les valeurs républicaines s’appliquent au quotidien. Un proche pense que la bonne réponse pourrait être « Tout le monde est identique ». Aidez-le à raisonner.</x:v>
      </x:c>
      <x:c r="F23" s="28" t="str">
        <x:v>Une des valeurs de la devise républicaine est l'Égalité. Qu'est-ce que cela signifie ?</x:v>
      </x:c>
      <x:c r="G23" s="28" t="str">
        <x:v>Tout le monde est identique.</x:v>
      </x:c>
      <x:c r="H23" s="28" t="str">
        <x:v>Toutes les personnes sont égales en droits devant la loi, sans discrimination.</x:v>
      </x:c>
      <x:c r="I23" s="28" t="str">
        <x:v>Tout le monde gagne le même salaire.</x:v>
      </x:c>
      <x:c r="J23" s="28" t="str">
        <x:v>Tout le monde pense la même chose.</x:v>
      </x:c>
      <x:c r="K23" s="32" t="str">
        <x:v>B</x:v>
      </x:c>
      <x:c r="L23" s="28" t="str">
        <x:v>La bonne réponse est « Toutes les personnes sont égales en droits devant la loi, sans discrimination ». L'égalité est une valeur fondamentale de la République. Elle garantit que chacun est traité de la même manière par la loi, quelles que soient son origine, son sexe, sa religion ou ses convictions.</x:v>
      </x:c>
      <x:c r="M23" s="29" t="str">
        <x:v>Égalité; Loi; Discrimination</x:v>
      </x:c>
    </x:row>
    <x:row r="24">
      <x:c r="A24" s="24" t="str">
        <x:v>MS-NAT-T1-023</x:v>
      </x:c>
      <x:c r="B24" s="25" t="str">
        <x:v>NAT-T1-023</x:v>
      </x:c>
      <x:c r="C24" s="25" t="str">
        <x:v>Principes et valeurs de la République</x:v>
      </x:c>
      <x:c r="D24" s="25" t="str">
        <x:v>🟢 Facile</x:v>
      </x:c>
      <x:c r="E24" s="28" t="str">
        <x:v>Une personne de votre entourage prépare son entretien de naturalisation et vous demande de l’aider sur un principe républicain. Dans le groupe, la réponse « Seulement avec l'accord de l'État » est avancée. Vous devez déterminer si elle est correcte.</x:v>
      </x:c>
      <x:c r="F24" s="28" t="str">
        <x:v>Une personne peut-elle changer librement de religion en France ?</x:v>
      </x:c>
      <x:c r="G24" s="28" t="str">
        <x:v>Non, c'est interdit.</x:v>
      </x:c>
      <x:c r="H24" s="28" t="str">
        <x:v>Seulement avec l'accord de l'État.</x:v>
      </x:c>
      <x:c r="I24" s="28" t="str">
        <x:v>Oui, chacun est libre de changer de religion.</x:v>
      </x:c>
      <x:c r="J24" s="28" t="str">
        <x:v>Seulement à partir de 18 ans.</x:v>
      </x:c>
      <x:c r="K24" s="32" t="str">
        <x:v>C</x:v>
      </x:c>
      <x:c r="L24" s="28" t="str">
        <x:v>La bonne réponse est « Oui, chacun est libre de changer de religion ». La liberté de conscience garantit à chacun le droit de croire, de changer de religion ou de ne pratiquer aucune religion.</x:v>
      </x:c>
      <x:c r="M24" s="29" t="str">
        <x:v>Religion; Liberté de conscience; Laïcité</x:v>
      </x:c>
    </x:row>
    <x:row r="25">
      <x:c r="A25" s="24" t="str">
        <x:v>MS-NAT-T1-024</x:v>
      </x:c>
      <x:c r="B25" s="25" t="str">
        <x:v>NAT-T1-024</x:v>
      </x:c>
      <x:c r="C25" s="25" t="str">
        <x:v>Principes et valeurs de la République</x:v>
      </x:c>
      <x:c r="D25" s="25" t="str">
        <x:v>🟡 Intermédiaire</x:v>
      </x:c>
      <x:c r="E25" s="28" t="str">
        <x:v>Pendant une discussion sur la citoyenneté française, un proche hésite sur une règle ou un symbole de la République. Une personne hésite et choisit « L'État finance toutes les religions ». Vous l’aidez à retrouver la règle ou le repère juste.</x:v>
      </x:c>
      <x:c r="F25" s="28" t="str">
        <x:v>Selon le principe de laïcité, que signifie la neutralité de l'État ?</x:v>
      </x:c>
      <x:c r="G25" s="28" t="str">
        <x:v>L'État interdit les religions.</x:v>
      </x:c>
      <x:c r="H25" s="28" t="str">
        <x:v>L'État choisit une religion officielle.</x:v>
      </x:c>
      <x:c r="I25" s="28" t="str">
        <x:v>L'État finance toutes les religions.</x:v>
      </x:c>
      <x:c r="J25" s="28" t="str">
        <x:v>L'État ne favorise ni ne défavorise aucune religion.</x:v>
      </x:c>
      <x:c r="K25" s="32" t="str">
        <x:v>D</x:v>
      </x:c>
      <x:c r="L25" s="28" t="str">
        <x:v>La bonne réponse est « L'État ne favorise ni ne défavorise aucune religion ». La neutralité de l'État est l'un des principes de la laïcité. Elle garantit l'égalité de traitement de tous les citoyens, quelles que soient leurs convictions religieuses.</x:v>
      </x:c>
      <x:c r="M25" s="29" t="str">
        <x:v>Neutralité; État; Laïcité</x:v>
      </x:c>
    </x:row>
    <x:row r="26">
      <x:c r="A26" s="24" t="str">
        <x:v>MS-NAT-T1-025</x:v>
      </x:c>
      <x:c r="B26" s="25" t="str">
        <x:v>NAT-T1-025</x:v>
      </x:c>
      <x:c r="C26" s="25" t="str">
        <x:v>Principes et valeurs de la République</x:v>
      </x:c>
      <x:c r="D26" s="25" t="str">
        <x:v>🔴 Difficile</x:v>
      </x:c>
      <x:c r="E26" s="28" t="str">
        <x:v>Lors d’un échange dans une association locale, une personne souhaite mieux comprendre les principes et les symboles de la République. Un participant propose la réponse « Être prioritaire en raison de sa religion ». Vous devez vérifier cette affirmation.</x:v>
      </x:c>
      <x:c r="F26" s="28" t="str">
        <x:v>Que peut faire un usager du service public dans une mairie ?</x:v>
      </x:c>
      <x:c r="G26" s="28" t="str">
        <x:v>Accéder aux services publics dans les mêmes conditions que tous les autres usagers.</x:v>
      </x:c>
      <x:c r="H26" s="28" t="str">
        <x:v>Être prioritaire en raison de sa religion.</x:v>
      </x:c>
      <x:c r="I26" s="28" t="str">
        <x:v>Obtenir un service réservé à certaines personnes.</x:v>
      </x:c>
      <x:c r="J26" s="28" t="str">
        <x:v>Choisir les règles de la mairie.</x:v>
      </x:c>
      <x:c r="K26" s="32" t="str">
        <x:v>A</x:v>
      </x:c>
      <x:c r="L26" s="28" t="str">
        <x:v>La bonne réponse est « Accéder aux services publics dans les mêmes conditions que tous les autres usagers ». Le service public applique le principe d'égalité : chaque usager bénéficie des mêmes droits et des mêmes conditions d'accès, quelles que soient ses convictions, son origine ou sa religion.</x:v>
      </x:c>
      <x:c r="M26" s="29" t="str">
        <x:v>Service public; Mairie; Égalité; Usager</x:v>
      </x:c>
    </x:row>
    <x:row r="27">
      <x:c r="A27" s="24" t="str">
        <x:v>MS-NAT-T1-026</x:v>
      </x:c>
      <x:c r="B27" s="25" t="str">
        <x:v>NAT-T1-026</x:v>
      </x:c>
      <x:c r="C27" s="25" t="str">
        <x:v>Principes et valeurs de la République</x:v>
      </x:c>
      <x:c r="D27" s="25" t="str">
        <x:v>🟡 Intermédiaire</x:v>
      </x:c>
      <x:c r="E27" s="28" t="str">
        <x:v>Au cours d’un atelier citoyen, votre groupe discute de la manière dont les valeurs républicaines s’appliquent au quotidien. Un proche pense que la bonne réponse pourrait être « Uniquement les églises catholiques ». Aidez-le à raisonner.</x:v>
      </x:c>
      <x:c r="F27" s="28" t="str">
        <x:v>En France, il est possible pour l'État de financer :</x:v>
      </x:c>
      <x:c r="G27" s="28" t="str">
        <x:v>N'importe quel lieu de culte, sans exception.</x:v>
      </x:c>
      <x:c r="H27" s="28" t="str">
        <x:v>Les aumôneries dans certains services publics (hôpitaux, prisons, armées).</x:v>
      </x:c>
      <x:c r="I27" s="28" t="str">
        <x:v>Uniquement les églises catholiques.</x:v>
      </x:c>
      <x:c r="J27" s="28" t="str">
        <x:v>Aucun financement religieux, sans exception.</x:v>
      </x:c>
      <x:c r="K27" s="32" t="str">
        <x:v>B</x:v>
      </x:c>
      <x:c r="L27" s="28" t="str">
        <x:v>La bonne réponse est « Les aumôneries dans certains services publics (hôpitaux, prisons, armées) ». En principe, la loi de 1905 interdit à l'État de financer les cultes. Toutefois, des exceptions existent, notamment pour les aumôneries dans certains services publics afin de garantir la liberté de culte des personnes qui ne peuvent pas se déplacer.</x:v>
      </x:c>
      <x:c r="M27" s="29" t="str">
        <x:v>Laïcité; Aumônerie; Services publics</x:v>
      </x:c>
    </x:row>
    <x:row r="28">
      <x:c r="A28" s="24" t="str">
        <x:v>MS-NAT-T1-027</x:v>
      </x:c>
      <x:c r="B28" s="25" t="str">
        <x:v>NAT-T1-027</x:v>
      </x:c>
      <x:c r="C28" s="25" t="str">
        <x:v>Principes et valeurs de la République</x:v>
      </x:c>
      <x:c r="D28" s="25" t="str">
        <x:v>🔴 Difficile</x:v>
      </x:c>
      <x:c r="E28" s="28" t="str">
        <x:v>Une personne de votre entourage prépare son entretien de naturalisation et vous demande de l’aider sur un principe républicain. Dans le groupe, la réponse « 1945 » est avancée. Vous devez déterminer si elle est correcte.</x:v>
      </x:c>
      <x:c r="F28" s="28" t="str">
        <x:v>En quelle année la loi de séparation des Églises et de l'État a-t-elle été votée ?</x:v>
      </x:c>
      <x:c r="G28" s="28" t="str">
        <x:v>1789.</x:v>
      </x:c>
      <x:c r="H28" s="28" t="str">
        <x:v>1958.</x:v>
      </x:c>
      <x:c r="I28" s="28" t="str">
        <x:v>1905.</x:v>
      </x:c>
      <x:c r="J28" s="28" t="str">
        <x:v>1945.</x:v>
      </x:c>
      <x:c r="K28" s="32" t="str">
        <x:v>C</x:v>
      </x:c>
      <x:c r="L28" s="28" t="str">
        <x:v>La bonne réponse est « 1905 ». La loi du 9 décembre 1905 fonde la laïcité française en organisant la séparation des Églises et de l'État.</x:v>
      </x:c>
      <x:c r="M28" s="29" t="str">
        <x:v>1905; Laïcité; Séparation des Églises et de l'État</x:v>
      </x:c>
    </x:row>
    <x:row r="29">
      <x:c r="A29" s="24" t="str">
        <x:v>MS-NAT-T1-028</x:v>
      </x:c>
      <x:c r="B29" s="25" t="str">
        <x:v>NAT-T1-028</x:v>
      </x:c>
      <x:c r="C29" s="25" t="str">
        <x:v>Principes et valeurs de la République</x:v>
      </x:c>
      <x:c r="D29" s="25" t="str">
        <x:v>🔴 Difficile</x:v>
      </x:c>
      <x:c r="E29" s="28" t="str">
        <x:v>Pendant une discussion sur la citoyenneté française, un proche hésite sur une règle ou un symbole de la République. Une personne hésite et choisit « Elle interdit les religions ». Vous l’aidez à retrouver la règle ou le repère juste.</x:v>
      </x:c>
      <x:c r="F29" s="28" t="str">
        <x:v>Que dit la loi de 1905 ?</x:v>
      </x:c>
      <x:c r="G29" s="28" t="str">
        <x:v>Elle interdit les religions.</x:v>
      </x:c>
      <x:c r="H29" s="28" t="str">
        <x:v>Elle impose une religion officielle.</x:v>
      </x:c>
      <x:c r="I29" s="28" t="str">
        <x:v>Elle interdit les lieux de culte.</x:v>
      </x:c>
      <x:c r="J29" s="28" t="str">
        <x:v>Elle sépare les Églises et l'État et garantit la liberté de conscience.</x:v>
      </x:c>
      <x:c r="K29" s="32" t="str">
        <x:v>D</x:v>
      </x:c>
      <x:c r="L29" s="28" t="str">
        <x:v>La bonne réponse est « Elle sépare les Églises et l'État et garantit la liberté de conscience ». La loi de 1905 établit la séparation des Églises et de l'État. Elle garantit la liberté de conscience et assure que la République ne reconnaît ni ne salarie aucun culte, sous réserve des exceptions prévues par la loi.</x:v>
      </x:c>
      <x:c r="M29" s="29" t="str">
        <x:v>1905; Liberté de conscience; Laïcité</x:v>
      </x:c>
    </x:row>
    <x:row r="30">
      <x:c r="A30" s="24" t="str">
        <x:v>MS-NAT-T1-029</x:v>
      </x:c>
      <x:c r="B30" s="25" t="str">
        <x:v>NAT-T1-029</x:v>
      </x:c>
      <x:c r="C30" s="25" t="str">
        <x:v>Principes et valeurs de la République</x:v>
      </x:c>
      <x:c r="D30" s="25" t="str">
        <x:v>🔴 Difficile</x:v>
      </x:c>
      <x:c r="E30" s="28" t="str">
        <x:v>Lors d’un échange dans une association locale, une personne souhaite mieux comprendre les principes et les symboles de la République. Un participant propose la réponse « Une religion officielle ». Vous devez vérifier cette affirmation.</x:v>
      </x:c>
      <x:c r="F30" s="28" t="str">
        <x:v>Que garantit le principe de laïcité ?</x:v>
      </x:c>
      <x:c r="G30" s="28" t="str">
        <x:v>La liberté de conscience, l'égalité de tous devant la loi et la neutralité de l'État.</x:v>
      </x:c>
      <x:c r="H30" s="28" t="str">
        <x:v>L'interdiction des religions.</x:v>
      </x:c>
      <x:c r="I30" s="28" t="str">
        <x:v>Une religion officielle.</x:v>
      </x:c>
      <x:c r="J30" s="28" t="str">
        <x:v>L'obligation de croire.</x:v>
      </x:c>
      <x:c r="K30" s="32" t="str">
        <x:v>A</x:v>
      </x:c>
      <x:c r="L30" s="28" t="str">
        <x:v>La bonne réponse est « La liberté de conscience, l'égalité de tous devant la loi et la neutralité de l'État ». La laïcité garantit à chacun la liberté de croire ou de ne pas croire. Elle assure également la neutralité de l'État et l'égalité entre tous les citoyens.</x:v>
      </x:c>
      <x:c r="M30" s="29" t="str">
        <x:v>Laïcité; Neutralité; Égalité; Liberté de conscience</x:v>
      </x:c>
    </x:row>
    <x:row r="31">
      <x:c r="A31" s="24" t="str">
        <x:v>MS-NAT-T1-030</x:v>
      </x:c>
      <x:c r="B31" s="25" t="str">
        <x:v>NAT-T1-030</x:v>
      </x:c>
      <x:c r="C31" s="25" t="str">
        <x:v>Principes et valeurs de la République</x:v>
      </x:c>
      <x:c r="D31" s="25" t="str">
        <x:v>🔴 Difficile</x:v>
      </x:c>
      <x:c r="E31" s="28" t="str">
        <x:v>Au cours d’un atelier citoyen, votre groupe discute de la manière dont les valeurs républicaines s’appliquent au quotidien. Un proche pense que la bonne réponse pourrait être « Le 8 mai ». Aidez-le à raisonner.</x:v>
      </x:c>
      <x:c r="F31" s="28" t="str">
        <x:v>Quel jour célèbre-t-on officiellement la laïcité en France ?</x:v>
      </x:c>
      <x:c r="G31" s="28" t="str">
        <x:v>Le 14 juillet.</x:v>
      </x:c>
      <x:c r="H31" s="28" t="str">
        <x:v>Le 9 décembre.</x:v>
      </x:c>
      <x:c r="I31" s="28" t="str">
        <x:v>Le 11 novembre.</x:v>
      </x:c>
      <x:c r="J31" s="28" t="str">
        <x:v>Le 8 mai.</x:v>
      </x:c>
      <x:c r="K31" s="32" t="str">
        <x:v>B</x:v>
      </x:c>
      <x:c r="L31" s="28" t="str">
        <x:v>La bonne réponse est « Le 9 décembre ». La Journée nationale de la laïcité est célébrée le 9 décembre, date anniversaire de la loi de séparation des Églises et de l'État de 1905.</x:v>
      </x:c>
      <x:c r="M31" s="29" t="str">
        <x:v>9 décembre; Laïcité; 1905</x:v>
      </x:c>
    </x:row>
    <x:row r="32">
      <x:c r="A32" s="24" t="str">
        <x:v>MS-NAT-T1-031</x:v>
      </x:c>
      <x:c r="B32" s="25" t="str">
        <x:v>NAT-T1-031</x:v>
      </x:c>
      <x:c r="C32" s="25" t="str">
        <x:v>Principes et valeurs de la République</x:v>
      </x:c>
      <x:c r="D32" s="25" t="str">
        <x:v>🔴 Difficile</x:v>
      </x:c>
      <x:c r="E32" s="28" t="str">
        <x:v>Une personne de votre entourage prépare son entretien de naturalisation et vous demande de l’aider sur un principe républicain. Dans le groupe, la réponse « Un voile couvrant les cheveux » est avancée. Vous devez déterminer si elle est correcte.</x:v>
      </x:c>
      <x:c r="F32" s="28" t="str">
        <x:v>Quel symbole religieux peut être porté dans une école publique dans le respect de la laïcité ?</x:v>
      </x:c>
      <x:c r="G32" s="28" t="str">
        <x:v>Un voile couvrant les cheveux.</x:v>
      </x:c>
      <x:c r="H32" s="28" t="str">
        <x:v>Une grande croix visible.</x:v>
      </x:c>
      <x:c r="I32" s="28" t="str">
        <x:v>Un symbole religieux discret.</x:v>
      </x:c>
      <x:c r="J32" s="28" t="str">
        <x:v>Une kippa.</x:v>
      </x:c>
      <x:c r="K32" s="32" t="str">
        <x:v>C</x:v>
      </x:c>
      <x:c r="L32" s="28" t="str">
        <x:v>La bonne réponse est « Un symbole religieux discret ». La loi de 2004 interdit aux élèves des écoles publiques le port de signes religieux ostensibles. Les signes discrets restent autorisés.</x:v>
      </x:c>
      <x:c r="M32" s="29" t="str">
        <x:v>Laïcité; École; Signes religieux</x:v>
      </x:c>
    </x:row>
    <x:row r="33">
      <x:c r="A33" s="24" t="str">
        <x:v>MS-NAT-T1-032</x:v>
      </x:c>
      <x:c r="B33" s="25" t="str">
        <x:v>NAT-T1-032</x:v>
      </x:c>
      <x:c r="C33" s="25" t="str">
        <x:v>Principes et valeurs de la République</x:v>
      </x:c>
      <x:c r="D33" s="25" t="str">
        <x:v>🟡 Intermédiaire</x:v>
      </x:c>
      <x:c r="E33" s="28" t="str">
        <x:v>Pendant une discussion sur la citoyenneté française, un proche hésite sur une règle ou un symbole de la République. Une personne hésite et choisit « Xénophobie ». Vous l’aidez à retrouver la règle ou le repère juste.</x:v>
      </x:c>
      <x:c r="F33" s="28" t="str">
        <x:v>Quel terme désigne précisément la haine ou les préjugés contre les Juifs ?</x:v>
      </x:c>
      <x:c r="G33" s="28" t="str">
        <x:v>Racisme.</x:v>
      </x:c>
      <x:c r="H33" s="28" t="str">
        <x:v>Xénophobie.</x:v>
      </x:c>
      <x:c r="I33" s="28" t="str">
        <x:v>Discrimination.</x:v>
      </x:c>
      <x:c r="J33" s="28" t="str">
        <x:v>L'antisémitisme.</x:v>
      </x:c>
      <x:c r="K33" s="32" t="str">
        <x:v>D</x:v>
      </x:c>
      <x:c r="L33" s="28" t="str">
        <x:v>La bonne réponse est « L'antisémitisme ». L'antisémitisme désigne la haine, les préjugés ou les discriminations dirigés contre les personnes juives. En France, il est interdit par la loi.</x:v>
      </x:c>
      <x:c r="M33" s="29" t="str">
        <x:v>Antisémitisme; Discrimination; Racisme</x:v>
      </x:c>
    </x:row>
    <x:row r="34">
      <x:c r="A34" s="24" t="str">
        <x:v>MS-NAT-T1-033</x:v>
      </x:c>
      <x:c r="B34" s="25" t="str">
        <x:v>NAT-T1-033</x:v>
      </x:c>
      <x:c r="C34" s="25" t="str">
        <x:v>Principes et valeurs de la République</x:v>
      </x:c>
      <x:c r="D34" s="25" t="str">
        <x:v>🔴 Difficile</x:v>
      </x:c>
      <x:c r="E34" s="28" t="str">
        <x:v>Lors d’un échange dans une association locale, une personne souhaite mieux comprendre les principes et les symboles de la République. Un participant propose la réponse « Le Code civil ». Vous devez vérifier cette affirmation.</x:v>
      </x:c>
      <x:c r="F34" s="28" t="str">
        <x:v>Quel texte est considéré comme le texte fondateur de la laïcité ?</x:v>
      </x:c>
      <x:c r="G34" s="28" t="str">
        <x:v>La loi du 9 décembre 1905 de séparation des Églises et de l'État.</x:v>
      </x:c>
      <x:c r="H34" s="28" t="str">
        <x:v>La Constitution.</x:v>
      </x:c>
      <x:c r="I34" s="28" t="str">
        <x:v>La Déclaration des droits de l'homme.</x:v>
      </x:c>
      <x:c r="J34" s="28" t="str">
        <x:v>Le Code civil.</x:v>
      </x:c>
      <x:c r="K34" s="32" t="str">
        <x:v>A</x:v>
      </x:c>
      <x:c r="L34" s="28" t="str">
        <x:v>La bonne réponse est « La loi du 9 décembre 1905 de séparation des Églises et de l'État ». La loi du 9 décembre 1905 organise la séparation des Églises et de l'État et garantit la liberté de conscience.</x:v>
      </x:c>
      <x:c r="M34" s="29" t="str">
        <x:v>1905; Laïcité; Séparation</x:v>
      </x:c>
    </x:row>
    <x:row r="35">
      <x:c r="A35" s="24" t="str">
        <x:v>MS-NAT-T1-034</x:v>
      </x:c>
      <x:c r="B35" s="25" t="str">
        <x:v>NAT-T1-034</x:v>
      </x:c>
      <x:c r="C35" s="25" t="str">
        <x:v>Principes et valeurs de la République</x:v>
      </x:c>
      <x:c r="D35" s="25" t="str">
        <x:v>🔴 Difficile</x:v>
      </x:c>
      <x:c r="E35" s="28" t="str">
        <x:v>Au cours d’un atelier citoyen, votre groupe discute de la manière dont les valeurs républicaines s’appliquent au quotidien. Un proche pense que la bonne réponse pourrait être « Les citoyens ». Aidez-le à raisonner.</x:v>
      </x:c>
      <x:c r="F35" s="28" t="str">
        <x:v>Quelle institution française doit rester neutre en matière de religion ?</x:v>
      </x:c>
      <x:c r="G35" s="28" t="str">
        <x:v>Les citoyens.</x:v>
      </x:c>
      <x:c r="H35" s="28" t="str">
        <x:v>L'État.</x:v>
      </x:c>
      <x:c r="I35" s="28" t="str">
        <x:v>Les associations.</x:v>
      </x:c>
      <x:c r="J35" s="28" t="str">
        <x:v>Les entreprises privées.</x:v>
      </x:c>
      <x:c r="K35" s="32" t="str">
        <x:v>B</x:v>
      </x:c>
      <x:c r="L35" s="28" t="str">
        <x:v>La bonne réponse est « L'État ». Selon le principe de laïcité, l'État et ses services publics doivent rester neutres vis-à-vis des religions afin de garantir l'égalité de tous les citoyens.</x:v>
      </x:c>
      <x:c r="M35" s="29" t="str">
        <x:v>État; Neutralité; Laïcité</x:v>
      </x:c>
    </x:row>
    <x:row r="36">
      <x:c r="A36" s="24" t="str">
        <x:v>MS-NAT-T1-035</x:v>
      </x:c>
      <x:c r="B36" s="25" t="str">
        <x:v>NAT-T1-035</x:v>
      </x:c>
      <x:c r="C36" s="25" t="str">
        <x:v>Principes et valeurs de la République</x:v>
      </x:c>
      <x:c r="D36" s="25" t="str">
        <x:v>🟢 Facile</x:v>
      </x:c>
      <x:c r="E36" s="28" t="str">
        <x:v>Une personne de votre entourage prépare son entretien de naturalisation et vous demande de l’aider sur un principe républicain. Dans le groupe, la réponse « L'obligation de ne pas croire » est avancée. Vous devez déterminer si elle est correcte.</x:v>
      </x:c>
      <x:c r="F36" s="28" t="str">
        <x:v>Qu'est-ce que la laïcité ?</x:v>
      </x:c>
      <x:c r="G36" s="28" t="str">
        <x:v>L'interdiction des religions.</x:v>
      </x:c>
      <x:c r="H36" s="28" t="str">
        <x:v>L'obligation de ne pas croire.</x:v>
      </x:c>
      <x:c r="I36" s="28" t="str">
        <x:v>La séparation des Églises et de l'État, garantissant la liberté de conscience et l'égalité de tous.</x:v>
      </x:c>
      <x:c r="J36" s="28" t="str">
        <x:v>Une religion officielle.</x:v>
      </x:c>
      <x:c r="K36" s="32" t="str">
        <x:v>C</x:v>
      </x:c>
      <x:c r="L36" s="28" t="str">
        <x:v>La bonne réponse est « La séparation des Églises et de l'État, garantissant la liberté de conscience et l'égalité de tous ». La laïcité est un principe fondamental de la République française. Elle repose sur la séparation des Églises et de l'État, garantit la liberté de conscience et assure la neutralité de l'État vis-à-vis des religions.</x:v>
      </x:c>
      <x:c r="M36" s="29" t="str">
        <x:v>Laïcité; Liberté de conscience; Neutralité; Égalité</x:v>
      </x:c>
    </x:row>
    <x:row r="37">
      <x:c r="A37" s="24" t="str">
        <x:v>MS-NAT-T1-036</x:v>
      </x:c>
      <x:c r="B37" s="25" t="str">
        <x:v>NAT-T1-036</x:v>
      </x:c>
      <x:c r="C37" s="25" t="str">
        <x:v>Principes et valeurs de la République</x:v>
      </x:c>
      <x:c r="D37" s="25" t="str">
        <x:v>🔴 Difficile</x:v>
      </x:c>
      <x:c r="E37" s="28" t="str">
        <x:v>Pendant une discussion sur la citoyenneté française, un proche hésite sur une règle ou un symbole de la République. Une personne hésite et choisit « Remplacer les cours d'histoire ». Vous l’aidez à retrouver la règle ou le repère juste.</x:v>
      </x:c>
      <x:c r="F37" s="28" t="str">
        <x:v>À l'école, la Charte de la laïcité permet de :</x:v>
      </x:c>
      <x:c r="G37" s="28" t="str">
        <x:v>Imposer une religion aux élèves.</x:v>
      </x:c>
      <x:c r="H37" s="28" t="str">
        <x:v>Interdire toute discussion sur la religion.</x:v>
      </x:c>
      <x:c r="I37" s="28" t="str">
        <x:v>Remplacer les cours d'histoire.</x:v>
      </x:c>
      <x:c r="J37" s="28" t="str">
        <x:v>Expliquer les règles de la laïcité, du vivre-ensemble et du respect des convictions de chacun.</x:v>
      </x:c>
      <x:c r="K37" s="32" t="str">
        <x:v>D</x:v>
      </x:c>
      <x:c r="L37" s="28" t="str">
        <x:v>La bonne réponse est « Expliquer les règles de la laïcité, du vivre-ensemble et du respect des convictions de chacun ». La Charte de la laïcité rappelle les droits et les devoirs de chacun dans les écoles publiques. Elle garantit la liberté de conscience et le respect des valeurs de la République.</x:v>
      </x:c>
      <x:c r="M37" s="29" t="str">
        <x:v>Charte de la laïcité; École; Valeurs de la République</x:v>
      </x:c>
    </x:row>
    <x:row r="38">
      <x:c r="A38" s="24" t="str">
        <x:v>MS-NAT-T1-037</x:v>
      </x:c>
      <x:c r="B38" s="25" t="str">
        <x:v>NAT-T1-037</x:v>
      </x:c>
      <x:c r="C38" s="25" t="str">
        <x:v>Principes et valeurs de la République</x:v>
      </x:c>
      <x:c r="D38" s="25" t="str">
        <x:v>🟡 Intermédiaire</x:v>
      </x:c>
      <x:c r="E38" s="28" t="str">
        <x:v>Lors d’un échange dans une association locale, une personne souhaite mieux comprendre les principes et les symboles de la République. Un participant propose la réponse « Les usagers ». Vous devez vérifier cette affirmation.</x:v>
      </x:c>
      <x:c r="F38" s="28" t="str">
        <x:v>Qui doit respecter et veiller à la neutralité religieuse dans les services publics ?</x:v>
      </x:c>
      <x:c r="G38" s="28" t="str">
        <x:v>Les agents publics.</x:v>
      </x:c>
      <x:c r="H38" s="28" t="str">
        <x:v>Les usagers.</x:v>
      </x:c>
      <x:c r="I38" s="28" t="str">
        <x:v>Les visiteurs.</x:v>
      </x:c>
      <x:c r="J38" s="28" t="str">
        <x:v>Les élus uniquement.</x:v>
      </x:c>
      <x:c r="K38" s="32" t="str">
        <x:v>A</x:v>
      </x:c>
      <x:c r="L38" s="28" t="str">
        <x:v>La bonne réponse est « Les agents publics ». Les agents publics représentent l'État et les services publics. À ce titre, ils doivent respecter le principe de neutralité religieuse afin de garantir l'égalité de traitement de tous les usagers.</x:v>
      </x:c>
      <x:c r="M38" s="29" t="str">
        <x:v>Agents publics; Neutralité; Services publics</x:v>
      </x:c>
    </x:row>
    <x:row r="39">
      <x:c r="A39" s="24" t="str">
        <x:v>MS-NAT-T1-038</x:v>
      </x:c>
      <x:c r="B39" s="25" t="str">
        <x:v>NAT-T1-038</x:v>
      </x:c>
      <x:c r="C39" s="25" t="str">
        <x:v>Principes et valeurs de la République</x:v>
      </x:c>
      <x:c r="D39" s="25" t="str">
        <x:v>🔴 Difficile</x:v>
      </x:c>
      <x:c r="E39" s="28" t="str">
        <x:v>Au cours d’un atelier citoyen, votre groupe discute de la manière dont les valeurs républicaines s’appliquent au quotidien. Un proche pense que la bonne réponse pourrait être « Qu'elle doit choisir une religion avant sa naturalisation ». Aidez-le à raisonner.</x:v>
      </x:c>
      <x:c r="F39" s="28" t="str">
        <x:v>Une personne déclare ne croire en aucun dieu. On peut dire :</x:v>
      </x:c>
      <x:c r="G39" s="28" t="str">
        <x:v>Qu'elle a moins de droits que les autres citoyens.</x:v>
      </x:c>
      <x:c r="H39" s="28" t="str">
        <x:v>Qu'elle a les mêmes droits et devoirs que les autres citoyens.</x:v>
      </x:c>
      <x:c r="I39" s="28" t="str">
        <x:v>Qu'elle doit choisir une religion avant sa naturalisation.</x:v>
      </x:c>
      <x:c r="J39" s="28" t="str">
        <x:v>Qu'elle ne peut pas exercer certains métiers publics.</x:v>
      </x:c>
      <x:c r="K39" s="32" t="str">
        <x:v>B</x:v>
      </x:c>
      <x:c r="L39" s="28" t="str">
        <x:v>La bonne réponse est « Qu'elle a les mêmes droits et devoirs que les autres citoyens ». Une personne qui ne croit en aucun dieu (on parle d'athéisme) a les mêmes devoirs et droits que les autres. Cela relève de la liberté de conscience : la République garantit à chacun le droit de croire, de ne pas croire ou de changer de religion.</x:v>
      </x:c>
      <x:c r="M39" s="29" t="str">
        <x:v>Athée; Agnostique; Laïcité; Liberté de conscience</x:v>
      </x:c>
    </x:row>
    <x:row r="40">
      <x:c r="A40" s="24" t="str">
        <x:v>MS-NAT-T2-002</x:v>
      </x:c>
      <x:c r="B40" s="25" t="str">
        <x:v>NAT-T2-002</x:v>
      </x:c>
      <x:c r="C40" s="25" t="str">
        <x:v>Système institutionnel et politique français</x:v>
      </x:c>
      <x:c r="D40" s="25" t="str">
        <x:v>🔴 Difficile</x:v>
      </x:c>
      <x:c r="E40" s="28" t="str">
        <x:v>Une discussion sur les élections amène votre entourage à vérifier une règle du système politique français. Dans le groupe, la réponse « Les députés uniquement » est avancée. Vous devez déterminer si elle est correcte.</x:v>
      </x:c>
      <x:c r="F40" s="28" t="str">
        <x:v>Qui peut être candidat à l'élection présidentielle ?</x:v>
      </x:c>
      <x:c r="G40" s="28" t="str">
        <x:v>Toute personne remplissant les conditions prévues par la loi (nationalité française, majorité, 500 parrainages...).</x:v>
      </x:c>
      <x:c r="H40" s="28" t="str">
        <x:v>Tous les Français automatiquement.</x:v>
      </x:c>
      <x:c r="I40" s="28" t="str">
        <x:v>Les ministres uniquement.</x:v>
      </x:c>
      <x:c r="J40" s="28" t="str">
        <x:v>Les députés uniquement.</x:v>
      </x:c>
      <x:c r="K40" s="32" t="str">
        <x:v>A</x:v>
      </x:c>
      <x:c r="L40" s="28" t="str">
        <x:v>La bonne réponse est « Toute personne remplissant les conditions prévues par la loi (nationalité française, majorité, 500 parrainages...) ». Pour être candidat à l'élection présidentielle, il faut notamment être de nationalité française, majeur, jouir de ses droits civiques et réunir les conditions prévues par la loi, notamment les 500 parrainages d'élus.</x:v>
      </x:c>
      <x:c r="M40" s="29" t="str">
        <x:v>Présidentielle; Candidat; Éligibilité</x:v>
      </x:c>
    </x:row>
    <x:row r="41">
      <x:c r="A41" s="24" t="str">
        <x:v>MS-NAT-T2-003</x:v>
      </x:c>
      <x:c r="B41" s="25" t="str">
        <x:v>NAT-T2-003</x:v>
      </x:c>
      <x:c r="C41" s="25" t="str">
        <x:v>Système institutionnel et politique français</x:v>
      </x:c>
      <x:c r="D41" s="25" t="str">
        <x:v>🔴 Difficile</x:v>
      </x:c>
      <x:c r="E41" s="28" t="str">
        <x:v>Un proche prépare une démarche citoyenne et souhaite clarifier le fonctionnement de la République et de ses institutions. Une personne hésite et choisit « Au Président de la République ». Vous l’aidez à retrouver la règle ou le repère juste.</x:v>
      </x:c>
      <x:c r="F41" s="28" t="str">
        <x:v>À qui appartient la souveraineté nationale ?</x:v>
      </x:c>
      <x:c r="G41" s="28" t="str">
        <x:v>Au Président de la République.</x:v>
      </x:c>
      <x:c r="H41" s="28" t="str">
        <x:v>Au peuple.</x:v>
      </x:c>
      <x:c r="I41" s="28" t="str">
        <x:v>Au Gouvernement.</x:v>
      </x:c>
      <x:c r="J41" s="28" t="str">
        <x:v>Au Parlement uniquement.</x:v>
      </x:c>
      <x:c r="K41" s="32" t="str">
        <x:v>B</x:v>
      </x:c>
      <x:c r="L41" s="28" t="str">
        <x:v>La bonne réponse est « Au peuple ». L'article 3 de la Constitution dispose que la souveraineté nationale appartient au peuple, qui l'exerce par ses représentants et par la voie du référendum.</x:v>
      </x:c>
      <x:c r="M41" s="29" t="str">
        <x:v>Souveraineté; Peuple; Constitution</x:v>
      </x:c>
    </x:row>
    <x:row r="42">
      <x:c r="A42" s="24" t="str">
        <x:v>MS-NAT-T2-004</x:v>
      </x:c>
      <x:c r="B42" s="25" t="str">
        <x:v>NAT-T2-004</x:v>
      </x:c>
      <x:c r="C42" s="25" t="str">
        <x:v>Système institutionnel et politique français</x:v>
      </x:c>
      <x:c r="D42" s="25" t="str">
        <x:v>🟡 Intermédiaire</x:v>
      </x:c>
      <x:c r="E42" s="28" t="str">
        <x:v>À l’occasion d’un échange sur la vie démocratique, un proche vous interroge sur le fonctionnement des institutions françaises. Un participant propose la réponse « Les préfets ». Vous devez vérifier cette affirmation.</x:v>
      </x:c>
      <x:c r="F42" s="28" t="str">
        <x:v>Qui est élu lors des élections municipales ?</x:v>
      </x:c>
      <x:c r="G42" s="28" t="str">
        <x:v>Le maire directement.</x:v>
      </x:c>
      <x:c r="H42" s="28" t="str">
        <x:v>Les préfets.</x:v>
      </x:c>
      <x:c r="I42" s="28" t="str">
        <x:v>Les conseillers municipaux.</x:v>
      </x:c>
      <x:c r="J42" s="28" t="str">
        <x:v>Les sénateurs.</x:v>
      </x:c>
      <x:c r="K42" s="32" t="str">
        <x:v>C</x:v>
      </x:c>
      <x:c r="L42" s="28" t="str">
        <x:v>La bonne réponse est « Les conseillers municipaux ». Les citoyens élisent les conseillers municipaux. Une fois élus, ces derniers élisent le maire parmi eux.</x:v>
      </x:c>
      <x:c r="M42" s="29" t="str">
        <x:v>Municipales; Conseillers municipaux; Maire</x:v>
      </x:c>
    </x:row>
    <x:row r="43">
      <x:c r="A43" s="24" t="str">
        <x:v>MS-NAT-T2-005</x:v>
      </x:c>
      <x:c r="B43" s="25" t="str">
        <x:v>NAT-T2-005</x:v>
      </x:c>
      <x:c r="C43" s="25" t="str">
        <x:v>Système institutionnel et politique français</x:v>
      </x:c>
      <x:c r="D43" s="25" t="str">
        <x:v>🟡 Intermédiaire</x:v>
      </x:c>
      <x:c r="E43" s="28" t="str">
        <x:v>Lors d’un atelier civique à la mairie, une personne cherche à comprendre le rôle des responsables publics et des institutions. Un proche pense que la bonne réponse pourrait être « Automatique dès la naissance, sans démarche ». Aidez-le à raisonner.</x:v>
      </x:c>
      <x:c r="F43" s="28" t="str">
        <x:v>L'inscription sur les listes électorales est-elle... ?</x:v>
      </x:c>
      <x:c r="G43" s="28" t="str">
        <x:v>Facultative.</x:v>
      </x:c>
      <x:c r="H43" s="28" t="str">
        <x:v>Réservée à certaines professions.</x:v>
      </x:c>
      <x:c r="I43" s="28" t="str">
        <x:v>Automatique dès la naissance, sans démarche.</x:v>
      </x:c>
      <x:c r="J43" s="28" t="str">
        <x:v>Obligatoire pour pouvoir voter.</x:v>
      </x:c>
      <x:c r="K43" s="32" t="str">
        <x:v>D</x:v>
      </x:c>
      <x:c r="L43" s="28" t="str">
        <x:v>La bonne réponse est « Obligatoire pour pouvoir voter ». Pour voter en France, il faut être inscrit sur une liste électorale. Les jeunes Français sont généralement inscrits automatiquement à 18 ans, mais ce n'est pas le cas de toutes les situations.</x:v>
      </x:c>
      <x:c r="M43" s="29" t="str">
        <x:v>Listes électorales; Vote; Inscription</x:v>
      </x:c>
    </x:row>
    <x:row r="44">
      <x:c r="A44" s="24" t="str">
        <x:v>MS-NAT-T2-006</x:v>
      </x:c>
      <x:c r="B44" s="25" t="str">
        <x:v>NAT-T2-006</x:v>
      </x:c>
      <x:c r="C44" s="25" t="str">
        <x:v>Système institutionnel et politique français</x:v>
      </x:c>
      <x:c r="D44" s="25" t="str">
        <x:v>🔴 Difficile</x:v>
      </x:c>
      <x:c r="E44" s="28" t="str">
        <x:v>Une discussion sur les élections amène votre entourage à vérifier une règle du système politique français. Dans le groupe, la réponse « Avoir un emploi » est avancée. Vous devez déterminer si elle est correcte.</x:v>
      </x:c>
      <x:c r="F44" s="28" t="str">
        <x:v>Citez une condition nécessaire pour voter à l'élection présidentielle.</x:v>
      </x:c>
      <x:c r="G44" s="28" t="str">
        <x:v>Être de nationalité française, majeur et inscrit sur les listes électorales.</x:v>
      </x:c>
      <x:c r="H44" s="28" t="str">
        <x:v>Avoir un emploi.</x:v>
      </x:c>
      <x:c r="I44" s="28" t="str">
        <x:v>Être marié.</x:v>
      </x:c>
      <x:c r="J44" s="28" t="str">
        <x:v>Payer des impôts.</x:v>
      </x:c>
      <x:c r="K44" s="32" t="str">
        <x:v>A</x:v>
      </x:c>
      <x:c r="L44" s="28" t="str">
        <x:v>La bonne réponse est « Être de nationalité française, majeur et inscrit sur les listes électorales ». Pour voter à l'élection présidentielle, plusieurs conditions doivent être remplies, notamment être français, majeur, inscrit sur une liste électorale et disposer de ses droits civils et politiques.</x:v>
      </x:c>
      <x:c r="M44" s="29" t="str">
        <x:v>Vote; Présidentielle; Listes électorales</x:v>
      </x:c>
    </x:row>
    <x:row r="45">
      <x:c r="A45" s="24" t="str">
        <x:v>MS-NAT-T2-007</x:v>
      </x:c>
      <x:c r="B45" s="25" t="str">
        <x:v>NAT-T2-007</x:v>
      </x:c>
      <x:c r="C45" s="25" t="str">
        <x:v>Système institutionnel et politique français</x:v>
      </x:c>
      <x:c r="D45" s="25" t="str">
        <x:v>🔴 Difficile</x:v>
      </x:c>
      <x:c r="E45" s="28" t="str">
        <x:v>Un proche prépare une démarche citoyenne et souhaite clarifier le fonctionnement de la République et de ses institutions. Une personne hésite et choisit « Être marié ». Vous l’aidez à retrouver la règle ou le repère juste.</x:v>
      </x:c>
      <x:c r="F45" s="28" t="str">
        <x:v>Citez une condition pour être candidat aux élections municipales.</x:v>
      </x:c>
      <x:c r="G45" s="28" t="str">
        <x:v>Être fonctionnaire.</x:v>
      </x:c>
      <x:c r="H45" s="28" t="str">
        <x:v>Être majeur et remplir les conditions prévues par la loi (nationalité française ou d'un État membre de l'UE).</x:v>
      </x:c>
      <x:c r="I45" s="28" t="str">
        <x:v>Être marié.</x:v>
      </x:c>
      <x:c r="J45" s="28" t="str">
        <x:v>Être propriétaire.</x:v>
      </x:c>
      <x:c r="K45" s="32" t="str">
        <x:v>B</x:v>
      </x:c>
      <x:c r="L45" s="28" t="str">
        <x:v>La bonne réponse est « Être majeur et remplir les conditions prévues par la loi (nationalité française ou d'un État membre de l'UE) ». Pour être candidat aux élections municipales, il faut notamment être majeur et remplir les conditions d'éligibilité prévues par la loi. Les citoyens de l'Union européenne résidant en France peuvent également être candidats.</x:v>
      </x:c>
      <x:c r="M45" s="29" t="str">
        <x:v>Municipales; Éligibilité; Conseil municipal</x:v>
      </x:c>
    </x:row>
    <x:row r="46">
      <x:c r="A46" s="24" t="str">
        <x:v>MS-NAT-T2-008</x:v>
      </x:c>
      <x:c r="B46" s="25" t="str">
        <x:v>NAT-T2-008</x:v>
      </x:c>
      <x:c r="C46" s="25" t="str">
        <x:v>Système institutionnel et politique français</x:v>
      </x:c>
      <x:c r="D46" s="25" t="str">
        <x:v>🟡 Intermédiaire</x:v>
      </x:c>
      <x:c r="E46" s="28" t="str">
        <x:v>À l’occasion d’un échange sur la vie démocratique, un proche vous interroge sur le fonctionnement des institutions françaises. Un participant propose la réponse « Le Premier ministre ». Vous devez vérifier cette affirmation.</x:v>
      </x:c>
      <x:c r="F46" s="28" t="str">
        <x:v>Parmi ces responsables, lequel est élu (et non nommé) ?</x:v>
      </x:c>
      <x:c r="G46" s="28" t="str">
        <x:v>Le préfet.</x:v>
      </x:c>
      <x:c r="H46" s="28" t="str">
        <x:v>Le procureur.</x:v>
      </x:c>
      <x:c r="I46" s="28" t="str">
        <x:v>Le maire.</x:v>
      </x:c>
      <x:c r="J46" s="28" t="str">
        <x:v>Le Premier ministre.</x:v>
      </x:c>
      <x:c r="K46" s="32" t="str">
        <x:v>C</x:v>
      </x:c>
      <x:c r="L46" s="28" t="str">
        <x:v>La bonne réponse est « Le maire ». Le maire est un élu local. Les autres (préfet et procureur) sont nommés par l'État. Le Premier ministre est nommé par le Président de la République.</x:v>
      </x:c>
      <x:c r="M46" s="29" t="str">
        <x:v>Maire; Préfet; Premier ministre; Suffrage universel</x:v>
      </x:c>
    </x:row>
    <x:row r="47">
      <x:c r="A47" s="24" t="str">
        <x:v>MS-NAT-T2-009</x:v>
      </x:c>
      <x:c r="B47" s="25" t="str">
        <x:v>NAT-T2-009</x:v>
      </x:c>
      <x:c r="C47" s="25" t="str">
        <x:v>Système institutionnel et politique français</x:v>
      </x:c>
      <x:c r="D47" s="25" t="str">
        <x:v>🔴 Difficile</x:v>
      </x:c>
      <x:c r="E47" s="28" t="str">
        <x:v>Lors d’un atelier civique à la mairie, une personne cherche à comprendre le rôle des responsables publics et des institutions. Un proche pense que la bonne réponse pourrait être « Il vote les lois ». Aidez-le à raisonner.</x:v>
      </x:c>
      <x:c r="F47" s="28" t="str">
        <x:v>Quel est le rôle du maire ?</x:v>
      </x:c>
      <x:c r="G47" s="28" t="str">
        <x:v>Il vote les lois.</x:v>
      </x:c>
      <x:c r="H47" s="28" t="str">
        <x:v>Il dirige le Gouvernement.</x:v>
      </x:c>
      <x:c r="I47" s="28" t="str">
        <x:v>Il représente la France à l'étranger.</x:v>
      </x:c>
      <x:c r="J47" s="28" t="str">
        <x:v>Il dirige la commune, applique les décisions du conseil municipal et assure notamment l'état civil.</x:v>
      </x:c>
      <x:c r="K47" s="32" t="str">
        <x:v>D</x:v>
      </x:c>
      <x:c r="L47" s="28" t="str">
        <x:v>La bonne réponse est « Il dirige la commune, applique les décisions du conseil municipal et assure notamment l'état civil ». Le maire est l'exécutif de la commune. Il met en œuvre les décisions du conseil municipal, gère les services municipaux et exerce certaines missions pour le compte de l'État, comme l'état civil.</x:v>
      </x:c>
      <x:c r="M47" s="29" t="str">
        <x:v>Maire; Commune; État civil</x:v>
      </x:c>
    </x:row>
    <x:row r="48">
      <x:c r="A48" s="24" t="str">
        <x:v>MS-NAT-T2-010</x:v>
      </x:c>
      <x:c r="B48" s="25" t="str">
        <x:v>NAT-T2-010</x:v>
      </x:c>
      <x:c r="C48" s="25" t="str">
        <x:v>Système institutionnel et politique français</x:v>
      </x:c>
      <x:c r="D48" s="25" t="str">
        <x:v>🔴 Difficile</x:v>
      </x:c>
      <x:c r="E48" s="28" t="str">
        <x:v>Une discussion sur les élections amène votre entourage à vérifier une règle du système politique français. Dans le groupe, la réponse « Au commissariat » est avancée. Vous devez déterminer si elle est correcte.</x:v>
      </x:c>
      <x:c r="F48" s="28" t="str">
        <x:v>Où peut-on demander son inscription sur les listes électorales sans effectuer de démarche en ligne ?</x:v>
      </x:c>
      <x:c r="G48" s="28" t="str">
        <x:v>À la mairie de son domicile.</x:v>
      </x:c>
      <x:c r="H48" s="28" t="str">
        <x:v>À la préfecture.</x:v>
      </x:c>
      <x:c r="I48" s="28" t="str">
        <x:v>Au commissariat.</x:v>
      </x:c>
      <x:c r="J48" s="28" t="str">
        <x:v>À France Travail.</x:v>
      </x:c>
      <x:c r="K48" s="32" t="str">
        <x:v>A</x:v>
      </x:c>
      <x:c r="L48" s="28" t="str">
        <x:v>La bonne réponse est « À la mairie de son domicile ». Les personnes qui ne souhaitent pas effectuer leurs démarches en ligne peuvent demander leur inscription sur les listes électorales directement auprès de la mairie de leur domicile.</x:v>
      </x:c>
      <x:c r="M48" s="29" t="str">
        <x:v>Mairie; Listes électorales; Vote</x:v>
      </x:c>
    </x:row>
    <x:row r="49">
      <x:c r="A49" s="24" t="str">
        <x:v>MS-NAT-T2-011</x:v>
      </x:c>
      <x:c r="B49" s="25" t="str">
        <x:v>NAT-T2-011</x:v>
      </x:c>
      <x:c r="C49" s="25" t="str">
        <x:v>Système institutionnel et politique français</x:v>
      </x:c>
      <x:c r="D49" s="25" t="str">
        <x:v>🟡 Intermédiaire</x:v>
      </x:c>
      <x:c r="E49" s="28" t="str">
        <x:v>Un proche prépare une démarche citoyenne et souhaite clarifier le fonctionnement de la République et de ses institutions. Une personne hésite et choisit « 21 ans ». Vous l’aidez à retrouver la règle ou le repère juste.</x:v>
      </x:c>
      <x:c r="F49" s="28" t="str">
        <x:v>À partir de quel âge devient-on électeur en France ?</x:v>
      </x:c>
      <x:c r="G49" s="28" t="str">
        <x:v>16 ans.</x:v>
      </x:c>
      <x:c r="H49" s="28" t="str">
        <x:v>18 ans.</x:v>
      </x:c>
      <x:c r="I49" s="28" t="str">
        <x:v>17 ans.</x:v>
      </x:c>
      <x:c r="J49" s="28" t="str">
        <x:v>21 ans.</x:v>
      </x:c>
      <x:c r="K49" s="32" t="str">
        <x:v>B</x:v>
      </x:c>
      <x:c r="L49" s="28" t="str">
        <x:v>La bonne réponse est « 18 ans ». En France, toute personne remplissant les conditions prévues par la loi devient électeur à partir de 18 ans.</x:v>
      </x:c>
      <x:c r="M49" s="29" t="str">
        <x:v>Électeur; 18 ans; Vote</x:v>
      </x:c>
    </x:row>
    <x:row r="50">
      <x:c r="A50" s="24" t="str">
        <x:v>MS-NAT-T2-012</x:v>
      </x:c>
      <x:c r="B50" s="25" t="str">
        <x:v>NAT-T2-012</x:v>
      </x:c>
      <x:c r="C50" s="25" t="str">
        <x:v>Système institutionnel et politique français</x:v>
      </x:c>
      <x:c r="D50" s="25" t="str">
        <x:v>🔴 Difficile</x:v>
      </x:c>
      <x:c r="E50" s="28" t="str">
        <x:v>À l’occasion d’un échange sur la vie démocratique, un proche vous interroge sur le fonctionnement des institutions françaises. Un participant propose la réponse « Oui ». Vous devez vérifier cette affirmation.</x:v>
      </x:c>
      <x:c r="F50" s="28" t="str">
        <x:v>Le vote est-il obligatoire en France ?</x:v>
      </x:c>
      <x:c r="G50" s="28" t="str">
        <x:v>Oui.</x:v>
      </x:c>
      <x:c r="H50" s="28" t="str">
        <x:v>Oui, seulement pour les élections présidentielles.</x:v>
      </x:c>
      <x:c r="I50" s="28" t="str">
        <x:v>Non, c'est un droit, pas une obligation.</x:v>
      </x:c>
      <x:c r="J50" s="28" t="str">
        <x:v>Oui, sous peine d'amende.</x:v>
      </x:c>
      <x:c r="K50" s="32" t="str">
        <x:v>C</x:v>
      </x:c>
      <x:c r="L50" s="28" t="str">
        <x:v>La bonne réponse est « Non, c'est un droit, pas une obligation ». En France, le vote est un droit civique, mais il n'est pas obligatoire. Chaque électeur est libre de participer ou non aux élections.</x:v>
      </x:c>
      <x:c r="M50" s="29" t="str">
        <x:v>Vote; Citoyenneté; Élections</x:v>
      </x:c>
    </x:row>
    <x:row r="51">
      <x:c r="A51" s="24" t="str">
        <x:v>MS-NAT-T2-013</x:v>
      </x:c>
      <x:c r="B51" s="25" t="str">
        <x:v>NAT-T2-013</x:v>
      </x:c>
      <x:c r="C51" s="25" t="str">
        <x:v>Système institutionnel et politique français</x:v>
      </x:c>
      <x:c r="D51" s="25" t="str">
        <x:v>🟢 Facile</x:v>
      </x:c>
      <x:c r="E51" s="28" t="str">
        <x:v>Lors d’un atelier civique à la mairie, une personne cherche à comprendre le rôle des responsables publics et des institutions. Un proche pense que la bonne réponse pourrait être « Oui si l'on n'est pas d'accord ». Aidez-le à raisonner.</x:v>
      </x:c>
      <x:c r="F51" s="28" t="str">
        <x:v>A-t-on le droit de ne pas respecter une loi que l'on juge injuste ?</x:v>
      </x:c>
      <x:c r="G51" s="28" t="str">
        <x:v>Oui.</x:v>
      </x:c>
      <x:c r="H51" s="28" t="str">
        <x:v>Oui si l'on n'est pas d'accord.</x:v>
      </x:c>
      <x:c r="I51" s="28" t="str">
        <x:v>Oui selon sa religion.</x:v>
      </x:c>
      <x:c r="J51" s="28" t="str">
        <x:v>Non, chacun doit respecter la loi.</x:v>
      </x:c>
      <x:c r="K51" s="32" t="str">
        <x:v>D</x:v>
      </x:c>
      <x:c r="L51" s="28" t="str">
        <x:v>La bonne réponse est « Non, chacun doit respecter la loi ». L'État de droit repose sur le respect des lois par tous. Personne n'est au-dessus de la loi. En cas de désaccord, il existe des voies légales pour la contester.</x:v>
      </x:c>
      <x:c r="M51" s="29" t="str">
        <x:v>Loi; État de droit; Justice</x:v>
      </x:c>
    </x:row>
    <x:row r="52">
      <x:c r="A52" s="24" t="str">
        <x:v>MS-NAT-T2-014</x:v>
      </x:c>
      <x:c r="B52" s="25" t="str">
        <x:v>NAT-T2-014</x:v>
      </x:c>
      <x:c r="C52" s="25" t="str">
        <x:v>Système institutionnel et politique français</x:v>
      </x:c>
      <x:c r="D52" s="25" t="str">
        <x:v>🔴 Difficile</x:v>
      </x:c>
      <x:c r="E52" s="28" t="str">
        <x:v>Une discussion sur les élections amène votre entourage à vérifier une règle du système politique français. Dans le groupe, la réponse « Ils sont choisis par le Gouvernement » est avancée. Vous devez déterminer si elle est correcte.</x:v>
      </x:c>
      <x:c r="F52" s="28" t="str">
        <x:v>Comment les députés sont-ils désignés ?</x:v>
      </x:c>
      <x:c r="G52" s="28" t="str">
        <x:v>Ils sont élus au suffrage universel direct.</x:v>
      </x:c>
      <x:c r="H52" s="28" t="str">
        <x:v>Ils sont nommés par le Président.</x:v>
      </x:c>
      <x:c r="I52" s="28" t="str">
        <x:v>Ils sont désignés par le Sénat.</x:v>
      </x:c>
      <x:c r="J52" s="28" t="str">
        <x:v>Ils sont choisis par le Gouvernement.</x:v>
      </x:c>
      <x:c r="K52" s="32" t="str">
        <x:v>A</x:v>
      </x:c>
      <x:c r="L52" s="28" t="str">
        <x:v>La bonne réponse est « Ils sont élus au suffrage universel direct ». Les députés représentent les citoyens à l'Assemblée nationale. Ils sont élus directement par les électeurs lors des élections législatives.</x:v>
      </x:c>
      <x:c r="M52" s="29" t="str">
        <x:v>Députés; Assemblée nationale; Législatives</x:v>
      </x:c>
    </x:row>
    <x:row r="53">
      <x:c r="A53" s="24" t="str">
        <x:v>MS-NAT-T2-015</x:v>
      </x:c>
      <x:c r="B53" s="25" t="str">
        <x:v>NAT-T2-015</x:v>
      </x:c>
      <x:c r="C53" s="25" t="str">
        <x:v>Système institutionnel et politique français</x:v>
      </x:c>
      <x:c r="D53" s="25" t="str">
        <x:v>🔴 Difficile</x:v>
      </x:c>
      <x:c r="E53" s="28" t="str">
        <x:v>Un proche prépare une démarche citoyenne et souhaite clarifier le fonctionnement de la République et de ses institutions. Une personne hésite et choisit « Le Président de la République ». Vous l’aidez à retrouver la règle ou le repère juste.</x:v>
      </x:c>
      <x:c r="F53" s="28" t="str">
        <x:v>Qui vote les lois en France ?</x:v>
      </x:c>
      <x:c r="G53" s="28" t="str">
        <x:v>Le Président de la République.</x:v>
      </x:c>
      <x:c r="H53" s="28" t="str">
        <x:v>Le Parlement.</x:v>
      </x:c>
      <x:c r="I53" s="28" t="str">
        <x:v>Le Premier ministre.</x:v>
      </x:c>
      <x:c r="J53" s="28" t="str">
        <x:v>Le Conseil constitutionnel.</x:v>
      </x:c>
      <x:c r="K53" s="32" t="str">
        <x:v>B</x:v>
      </x:c>
      <x:c r="L53" s="28" t="str">
        <x:v>La bonne réponse est « Le Parlement ». Le Parlement est composé de deux chambres : l'Assemblée nationale et le Sénat. Ensemble, elles discutent, modifient et votent les lois.</x:v>
      </x:c>
      <x:c r="M53" s="29" t="str">
        <x:v>Parlement; Assemblée nationale; Sénat; Loi</x:v>
      </x:c>
    </x:row>
    <x:row r="54">
      <x:c r="A54" s="24" t="str">
        <x:v>MS-NAT-T2-016</x:v>
      </x:c>
      <x:c r="B54" s="25" t="str">
        <x:v>NAT-T2-016</x:v>
      </x:c>
      <x:c r="C54" s="25" t="str">
        <x:v>Système institutionnel et politique français</x:v>
      </x:c>
      <x:c r="D54" s="25" t="str">
        <x:v>🔴 Difficile</x:v>
      </x:c>
      <x:c r="E54" s="28" t="str">
        <x:v>À l’occasion d’un échange sur la vie démocratique, un proche vous interroge sur le fonctionnement des institutions françaises. Un participant propose la réponse « Gouvernement, Sénat, police ». Vous devez vérifier cette affirmation.</x:v>
      </x:c>
      <x:c r="F54" s="28" t="str">
        <x:v>Quels sont les trois pouvoirs de la République française ?</x:v>
      </x:c>
      <x:c r="G54" s="28" t="str">
        <x:v>Président, maire, préfet.</x:v>
      </x:c>
      <x:c r="H54" s="28" t="str">
        <x:v>Gouvernement, Sénat, police.</x:v>
      </x:c>
      <x:c r="I54" s="28" t="str">
        <x:v>Le pouvoir exécutif, le pouvoir législatif et le pouvoir judiciaire.</x:v>
      </x:c>
      <x:c r="J54" s="28" t="str">
        <x:v>Exécutif et législatif uniquement.</x:v>
      </x:c>
      <x:c r="K54" s="32" t="str">
        <x:v>C</x:v>
      </x:c>
      <x:c r="L54" s="28" t="str">
        <x:v>La bonne réponse est « Le pouvoir exécutif, le pouvoir législatif et le pouvoir judiciaire ». La séparation des pouvoirs évite qu'une seule autorité concentre tous les pouvoirs. En France, les pouvoirs exécutif, législatif et judiciaire sont exercés par des institutions différentes.</x:v>
      </x:c>
      <x:c r="M54" s="29" t="str">
        <x:v>Pouvoir exécutif; Pouvoir législatif; Pouvoir judiciaire</x:v>
      </x:c>
    </x:row>
    <x:row r="55">
      <x:c r="A55" s="24" t="str">
        <x:v>MS-NAT-T2-017</x:v>
      </x:c>
      <x:c r="B55" s="25" t="str">
        <x:v>NAT-T2-017</x:v>
      </x:c>
      <x:c r="C55" s="25" t="str">
        <x:v>Système institutionnel et politique français</x:v>
      </x:c>
      <x:c r="D55" s="25" t="str">
        <x:v>🔴 Difficile</x:v>
      </x:c>
      <x:c r="E55" s="28" t="str">
        <x:v>Lors d’un atelier civique à la mairie, une personne cherche à comprendre le rôle des responsables publics et des institutions. Un proche pense que la bonne réponse pourrait être « Les citoyens choisissent les lois qu'ils respectent ». Aidez-le à raisonner.</x:v>
      </x:c>
      <x:c r="F55" s="28" t="str">
        <x:v>Qu'est-ce qu'un État de droit ?</x:v>
      </x:c>
      <x:c r="G55" s="28" t="str">
        <x:v>Le Président décide seul.</x:v>
      </x:c>
      <x:c r="H55" s="28" t="str">
        <x:v>L'État peut faire ce qu'il veut.</x:v>
      </x:c>
      <x:c r="I55" s="28" t="str">
        <x:v>Les citoyens choisissent les lois qu'ils respectent.</x:v>
      </x:c>
      <x:c r="J55" s="28" t="str">
        <x:v>Un État dans lequel tout le monde respecte la loi, y compris les pouvoirs publics.</x:v>
      </x:c>
      <x:c r="K55" s="32" t="str">
        <x:v>D</x:v>
      </x:c>
      <x:c r="L55" s="28" t="str">
        <x:v>La bonne réponse est « Un État dans lequel tout le monde respecte la loi, y compris les pouvoirs publics ». L'État de droit garantit que les lois s'appliquent à tous de la même manière. Les autorités publiques doivent également respecter la Constitution et les lois.</x:v>
      </x:c>
      <x:c r="M55" s="29" t="str">
        <x:v>État de droit; Constitution; Justice</x:v>
      </x:c>
    </x:row>
    <x:row r="56">
      <x:c r="A56" s="24" t="str">
        <x:v>MS-NAT-T2-018</x:v>
      </x:c>
      <x:c r="B56" s="25" t="str">
        <x:v>NAT-T2-018</x:v>
      </x:c>
      <x:c r="C56" s="25" t="str">
        <x:v>Système institutionnel et politique français</x:v>
      </x:c>
      <x:c r="D56" s="25" t="str">
        <x:v>🔴 Difficile</x:v>
      </x:c>
      <x:c r="E56" s="28" t="str">
        <x:v>Une discussion sur les élections amène votre entourage à vérifier une règle du système politique français. Dans le groupe, la réponse « 5 ans » est avancée. Vous devez déterminer si elle est correcte.</x:v>
      </x:c>
      <x:c r="F56" s="28" t="str">
        <x:v>Pour combien de temps le maire et les conseillers municipaux sont-ils élus ?</x:v>
      </x:c>
      <x:c r="G56" s="28" t="str">
        <x:v>6 ans.</x:v>
      </x:c>
      <x:c r="H56" s="28" t="str">
        <x:v>5 ans.</x:v>
      </x:c>
      <x:c r="I56" s="28" t="str">
        <x:v>7 ans.</x:v>
      </x:c>
      <x:c r="J56" s="28" t="str">
        <x:v>9 ans.</x:v>
      </x:c>
      <x:c r="K56" s="32" t="str">
        <x:v>A</x:v>
      </x:c>
      <x:c r="L56" s="28" t="str">
        <x:v>La bonne réponse est « 6 ans ». Les conseillers municipaux sont élus pour six ans. Ils élisent ensuite le maire, qui exerce lui aussi un mandat de six ans.</x:v>
      </x:c>
      <x:c r="M56" s="29" t="str">
        <x:v>Maire; Conseil municipal; Mandat</x:v>
      </x:c>
    </x:row>
    <x:row r="57">
      <x:c r="A57" s="24" t="str">
        <x:v>MS-NAT-T2-019</x:v>
      </x:c>
      <x:c r="B57" s="25" t="str">
        <x:v>NAT-T2-019</x:v>
      </x:c>
      <x:c r="C57" s="25" t="str">
        <x:v>Système institutionnel et politique français</x:v>
      </x:c>
      <x:c r="D57" s="25" t="str">
        <x:v>🔴 Difficile</x:v>
      </x:c>
      <x:c r="E57" s="28" t="str">
        <x:v>Un proche prépare une démarche citoyenne et souhaite clarifier le fonctionnement de la République et de ses institutions. Une personne hésite et choisit « Les maires ». Vous l’aidez à retrouver la règle ou le repère juste.</x:v>
      </x:c>
      <x:c r="F57" s="28" t="str">
        <x:v>Qui est élu lors des élections législatives ?</x:v>
      </x:c>
      <x:c r="G57" s="28" t="str">
        <x:v>Les sénateurs.</x:v>
      </x:c>
      <x:c r="H57" s="28" t="str">
        <x:v>Les députés.</x:v>
      </x:c>
      <x:c r="I57" s="28" t="str">
        <x:v>Les maires.</x:v>
      </x:c>
      <x:c r="J57" s="28" t="str">
        <x:v>Les ministres.</x:v>
      </x:c>
      <x:c r="K57" s="32" t="str">
        <x:v>B</x:v>
      </x:c>
      <x:c r="L57" s="28" t="str">
        <x:v>La bonne réponse est « Les députés ». Les élections législatives permettent d'élire les députés qui siègent à l'Assemblée nationale et participent au vote des lois.</x:v>
      </x:c>
      <x:c r="M57" s="29" t="str">
        <x:v>Députés; Assemblée nationale; Législatives</x:v>
      </x:c>
    </x:row>
    <x:row r="58">
      <x:c r="A58" s="24" t="str">
        <x:v>MS-NAT-T2-020</x:v>
      </x:c>
      <x:c r="B58" s="25" t="str">
        <x:v>NAT-T2-020</x:v>
      </x:c>
      <x:c r="C58" s="25" t="str">
        <x:v>Système institutionnel et politique français</x:v>
      </x:c>
      <x:c r="D58" s="25" t="str">
        <x:v>🟢 Facile</x:v>
      </x:c>
      <x:c r="E58" s="28" t="str">
        <x:v>À l’occasion d’un échange sur la vie démocratique, un proche vous interroge sur le fonctionnement des institutions françaises. Un participant propose la réponse « 7 ans ». Vous devez vérifier cette affirmation.</x:v>
      </x:c>
      <x:c r="F58" s="28" t="str">
        <x:v>Pour combien de temps le Président de la République est-il élu ?</x:v>
      </x:c>
      <x:c r="G58" s="28" t="str">
        <x:v>4 ans.</x:v>
      </x:c>
      <x:c r="H58" s="28" t="str">
        <x:v>6 ans.</x:v>
      </x:c>
      <x:c r="I58" s="28" t="str">
        <x:v>5 ans.</x:v>
      </x:c>
      <x:c r="J58" s="28" t="str">
        <x:v>7 ans.</x:v>
      </x:c>
      <x:c r="K58" s="32" t="str">
        <x:v>C</x:v>
      </x:c>
      <x:c r="L58" s="28" t="str">
        <x:v>La bonne réponse est « 5 ans ». Depuis la réforme constitutionnelle de 2000, le Président de la République est élu pour un mandat de 5 ans, appelé quinquennat.</x:v>
      </x:c>
      <x:c r="M58" s="29" t="str">
        <x:v>Président; Quinquennat; Mandat</x:v>
      </x:c>
    </x:row>
    <x:row r="59">
      <x:c r="A59" s="24" t="str">
        <x:v>MS-NAT-T2-021</x:v>
      </x:c>
      <x:c r="B59" s="25" t="str">
        <x:v>NAT-T2-021</x:v>
      </x:c>
      <x:c r="C59" s="25" t="str">
        <x:v>Système institutionnel et politique français</x:v>
      </x:c>
      <x:c r="D59" s="25" t="str">
        <x:v>🟡 Intermédiaire</x:v>
      </x:c>
      <x:c r="E59" s="28" t="str">
        <x:v>Lors d’un atelier civique à la mairie, une personne cherche à comprendre le rôle des responsables publics et des institutions. Un proche pense que la bonne réponse pourrait être « 4 ans ». Aidez-le à raisonner.</x:v>
      </x:c>
      <x:c r="F59" s="28" t="str">
        <x:v>Pour combien de temps les députés sont-ils élus ?</x:v>
      </x:c>
      <x:c r="G59" s="28" t="str">
        <x:v>4 ans.</x:v>
      </x:c>
      <x:c r="H59" s="28" t="str">
        <x:v>6 ans.</x:v>
      </x:c>
      <x:c r="I59" s="28" t="str">
        <x:v>7 ans.</x:v>
      </x:c>
      <x:c r="J59" s="28" t="str">
        <x:v>5 ans.</x:v>
      </x:c>
      <x:c r="K59" s="32" t="str">
        <x:v>D</x:v>
      </x:c>
      <x:c r="L59" s="28" t="str">
        <x:v>La bonne réponse est « 5 ans ». Les députés sont élus pour un mandat de 5 ans lors des élections législatives. Ils siègent à l'Assemblée nationale.</x:v>
      </x:c>
      <x:c r="M59" s="29" t="str">
        <x:v>Députés; Assemblée nationale; Mandat</x:v>
      </x:c>
    </x:row>
    <x:row r="60">
      <x:c r="A60" s="24" t="str">
        <x:v>MS-NAT-T2-022</x:v>
      </x:c>
      <x:c r="B60" s="25" t="str">
        <x:v>NAT-T2-022</x:v>
      </x:c>
      <x:c r="C60" s="25" t="str">
        <x:v>Système institutionnel et politique français</x:v>
      </x:c>
      <x:c r="D60" s="25" t="str">
        <x:v>🔴 Difficile</x:v>
      </x:c>
      <x:c r="E60" s="28" t="str">
        <x:v>Une discussion sur les élections amène votre entourage à vérifier une règle du système politique français. Dans le groupe, la réponse « 7 ans » est avancée. Vous devez déterminer si elle est correcte.</x:v>
      </x:c>
      <x:c r="F60" s="28" t="str">
        <x:v>Pour combien de temps les sénateurs sont-ils élus ?</x:v>
      </x:c>
      <x:c r="G60" s="28" t="str">
        <x:v>6 ans.</x:v>
      </x:c>
      <x:c r="H60" s="28" t="str">
        <x:v>5 ans.</x:v>
      </x:c>
      <x:c r="I60" s="28" t="str">
        <x:v>7 ans.</x:v>
      </x:c>
      <x:c r="J60" s="28" t="str">
        <x:v>9 ans.</x:v>
      </x:c>
      <x:c r="K60" s="32" t="str">
        <x:v>A</x:v>
      </x:c>
      <x:c r="L60" s="28" t="str">
        <x:v>La bonne réponse est « 6 ans ». Les sénateurs sont élus pour un mandat de 6 ans. Le Sénat est renouvelé par moitié tous les trois ans.</x:v>
      </x:c>
      <x:c r="M60" s="29" t="str">
        <x:v>Sénateurs; Sénat; Mandat</x:v>
      </x:c>
    </x:row>
    <x:row r="61">
      <x:c r="A61" s="24" t="str">
        <x:v>MS-NAT-T2-023</x:v>
      </x:c>
      <x:c r="B61" s="25" t="str">
        <x:v>NAT-T2-023</x:v>
      </x:c>
      <x:c r="C61" s="25" t="str">
        <x:v>Système institutionnel et politique français</x:v>
      </x:c>
      <x:c r="D61" s="25" t="str">
        <x:v>🟡 Intermédiaire</x:v>
      </x:c>
      <x:c r="E61" s="28" t="str">
        <x:v>Un proche prépare une démarche citoyenne et souhaite clarifier le fonctionnement de la République et de ses institutions. Une personne hésite et choisit « Le préfet ». Vous l’aidez à retrouver la règle ou le repère juste.</x:v>
      </x:c>
      <x:c r="F61" s="28" t="str">
        <x:v>Qui dirige l'action du Gouvernement au quotidien ?</x:v>
      </x:c>
      <x:c r="G61" s="28" t="str">
        <x:v>Le Président de la République.</x:v>
      </x:c>
      <x:c r="H61" s="28" t="str">
        <x:v>Le Premier ministre.</x:v>
      </x:c>
      <x:c r="I61" s="28" t="str">
        <x:v>Le Président de l'Assemblée nationale.</x:v>
      </x:c>
      <x:c r="J61" s="28" t="str">
        <x:v>Le préfet.</x:v>
      </x:c>
      <x:c r="K61" s="32" t="str">
        <x:v>B</x:v>
      </x:c>
      <x:c r="L61" s="28" t="str">
        <x:v>La bonne réponse est « Le Premier ministre ». Selon l'article 21 de la Constitution, le Premier ministre dirige l'action du Gouvernement et veille à l'exécution des lois.</x:v>
      </x:c>
      <x:c r="M61" s="29" t="str">
        <x:v>Premier ministre; Gouvernement; Constitution</x:v>
      </x:c>
    </x:row>
    <x:row r="62">
      <x:c r="A62" s="24" t="str">
        <x:v>MS-NAT-T2-024</x:v>
      </x:c>
      <x:c r="B62" s="25" t="str">
        <x:v>NAT-T2-024</x:v>
      </x:c>
      <x:c r="C62" s="25" t="str">
        <x:v>Système institutionnel et politique français</x:v>
      </x:c>
      <x:c r="D62" s="25" t="str">
        <x:v>🟢 Facile</x:v>
      </x:c>
      <x:c r="E62" s="28" t="str">
        <x:v>À l’occasion d’un échange sur la vie démocratique, un proche vous interroge sur le fonctionnement des institutions françaises. Un participant propose la réponse « Non ». Vous devez vérifier cette affirmation.</x:v>
      </x:c>
      <x:c r="F62" s="28" t="str">
        <x:v>Un citoyen a-t-il le droit d'adhérer à un parti politique ?</x:v>
      </x:c>
      <x:c r="G62" s="28" t="str">
        <x:v>Non.</x:v>
      </x:c>
      <x:c r="H62" s="28" t="str">
        <x:v>Seulement les élus.</x:v>
      </x:c>
      <x:c r="I62" s="28" t="str">
        <x:v>Oui, chacun est libre d'adhérer ou non.</x:v>
      </x:c>
      <x:c r="J62" s="28" t="str">
        <x:v>Seulement les fonctionnaires.</x:v>
      </x:c>
      <x:c r="K62" s="32" t="str">
        <x:v>C</x:v>
      </x:c>
      <x:c r="L62" s="28" t="str">
        <x:v>La bonne réponse est « Oui, chacun est libre d'adhérer ou non ». La liberté d'association comprend également la possibilité de créer ou de rejoindre un parti politique. Cette liberté participe au fonctionnement démocratique.</x:v>
      </x:c>
      <x:c r="M62" s="29" t="str">
        <x:v>Parti politique; Liberté; Démocratie</x:v>
      </x:c>
    </x:row>
    <x:row r="63">
      <x:c r="A63" s="24" t="str">
        <x:v>MS-NAT-T2-025</x:v>
      </x:c>
      <x:c r="B63" s="25" t="str">
        <x:v>NAT-T2-025</x:v>
      </x:c>
      <x:c r="C63" s="25" t="str">
        <x:v>Système institutionnel et politique français</x:v>
      </x:c>
      <x:c r="D63" s="25" t="str">
        <x:v>🟡 Intermédiaire</x:v>
      </x:c>
      <x:c r="E63" s="28" t="str">
        <x:v>Lors d’un atelier civique à la mairie, une personne cherche à comprendre le rôle des responsables publics et des institutions. Un proche pense que la bonne réponse pourrait être « Le maire ». Aidez-le à raisonner.</x:v>
      </x:c>
      <x:c r="F63" s="28" t="str">
        <x:v>Qui juge et sanctionne les auteurs d'infractions ?</x:v>
      </x:c>
      <x:c r="G63" s="28" t="str">
        <x:v>La police.</x:v>
      </x:c>
      <x:c r="H63" s="28" t="str">
        <x:v>Le maire.</x:v>
      </x:c>
      <x:c r="I63" s="28" t="str">
        <x:v>Le Président de la République.</x:v>
      </x:c>
      <x:c r="J63" s="28" t="str">
        <x:v>La justice.</x:v>
      </x:c>
      <x:c r="K63" s="32" t="str">
        <x:v>D</x:v>
      </x:c>
      <x:c r="L63" s="28" t="str">
        <x:v>La bonne réponse est « La justice ». La police enquête et interpelle les auteurs d'infractions, mais c'est la justice, par l'intermédiaire des tribunaux, qui juge et sanctionne les infractions.</x:v>
      </x:c>
      <x:c r="M63" s="29" t="str">
        <x:v>Justice; Tribunal; Juge; Pouvoir judiciaire</x:v>
      </x:c>
    </x:row>
    <x:row r="64">
      <x:c r="A64" s="24" t="str">
        <x:v>MS-NAT-T2-026</x:v>
      </x:c>
      <x:c r="B64" s="25" t="str">
        <x:v>NAT-T2-026</x:v>
      </x:c>
      <x:c r="C64" s="25" t="str">
        <x:v>Système institutionnel et politique français</x:v>
      </x:c>
      <x:c r="D64" s="25" t="str">
        <x:v>🔴 Difficile</x:v>
      </x:c>
      <x:c r="E64" s="28" t="str">
        <x:v>Une discussion sur les élections amène votre entourage à vérifier une règle du système politique français. Dans le groupe, la réponse « L'État » est avancée. Vous devez déterminer si elle est correcte.</x:v>
      </x:c>
      <x:c r="F64" s="28" t="str">
        <x:v>Quelle collectivité territoriale a la compétence des collèges publics ?</x:v>
      </x:c>
      <x:c r="G64" s="28" t="str">
        <x:v>Le département.</x:v>
      </x:c>
      <x:c r="H64" s="28" t="str">
        <x:v>La commune.</x:v>
      </x:c>
      <x:c r="I64" s="28" t="str">
        <x:v>La région.</x:v>
      </x:c>
      <x:c r="J64" s="28" t="str">
        <x:v>L'État.</x:v>
      </x:c>
      <x:c r="K64" s="32" t="str">
        <x:v>A</x:v>
      </x:c>
      <x:c r="L64" s="28" t="str">
        <x:v>La bonne réponse est « Le département ». Les collèges publics relèvent de la compétence des départements, qui assurent notamment leur construction, leur entretien et leur équipement.</x:v>
      </x:c>
      <x:c r="M64" s="29" t="str">
        <x:v>Département; Collège; Collectivités territoriales</x:v>
      </x:c>
    </x:row>
    <x:row r="65">
      <x:c r="A65" s="24" t="str">
        <x:v>MS-NAT-T2-027</x:v>
      </x:c>
      <x:c r="B65" s="25" t="str">
        <x:v>NAT-T2-027</x:v>
      </x:c>
      <x:c r="C65" s="25" t="str">
        <x:v>Système institutionnel et politique français</x:v>
      </x:c>
      <x:c r="D65" s="25" t="str">
        <x:v>🔴 Difficile</x:v>
      </x:c>
      <x:c r="E65" s="28" t="str">
        <x:v>Un proche prépare une démarche citoyenne et souhaite clarifier le fonctionnement de la République et de ses institutions. Une personne hésite et choisit « Le département ». Vous l’aidez à retrouver la règle ou le repère juste.</x:v>
      </x:c>
      <x:c r="F65" s="28" t="str">
        <x:v>Qui gère les écoles maternelles et élémentaires publiques ?</x:v>
      </x:c>
      <x:c r="G65" s="28" t="str">
        <x:v>Le département.</x:v>
      </x:c>
      <x:c r="H65" s="28" t="str">
        <x:v>La commune.</x:v>
      </x:c>
      <x:c r="I65" s="28" t="str">
        <x:v>La région.</x:v>
      </x:c>
      <x:c r="J65" s="28" t="str">
        <x:v>Le Sénat.</x:v>
      </x:c>
      <x:c r="K65" s="32" t="str">
        <x:v>B</x:v>
      </x:c>
      <x:c r="L65" s="28" t="str">
        <x:v>La bonne réponse est « La commune ». Les communes sont responsables de la construction, de l'entretien et du fonctionnement des écoles maternelles et élémentaires publiques.</x:v>
      </x:c>
      <x:c r="M65" s="29" t="str">
        <x:v>Commune; Mairie; École</x:v>
      </x:c>
    </x:row>
    <x:row r="66">
      <x:c r="A66" s="24" t="str">
        <x:v>MS-NAT-T2-028</x:v>
      </x:c>
      <x:c r="B66" s="25" t="str">
        <x:v>NAT-T2-028</x:v>
      </x:c>
      <x:c r="C66" s="25" t="str">
        <x:v>Système institutionnel et politique français</x:v>
      </x:c>
      <x:c r="D66" s="25" t="str">
        <x:v>🔴 Difficile</x:v>
      </x:c>
      <x:c r="E66" s="28" t="str">
        <x:v>À l’occasion d’un échange sur la vie démocratique, un proche vous interroge sur le fonctionnement des institutions françaises. Un participant propose la réponse « Par le Président de la République ». Vous devez vérifier cette affirmation.</x:v>
      </x:c>
      <x:c r="F66" s="28" t="str">
        <x:v>Comment le maire est-il élu ?</x:v>
      </x:c>
      <x:c r="G66" s="28" t="str">
        <x:v>Par les habitants directement.</x:v>
      </x:c>
      <x:c r="H66" s="28" t="str">
        <x:v>Par le Président de la République.</x:v>
      </x:c>
      <x:c r="I66" s="28" t="str">
        <x:v>Par les conseillers municipaux.</x:v>
      </x:c>
      <x:c r="J66" s="28" t="str">
        <x:v>Par le préfet.</x:v>
      </x:c>
      <x:c r="K66" s="32" t="str">
        <x:v>C</x:v>
      </x:c>
      <x:c r="L66" s="28" t="str">
        <x:v>La bonne réponse est « Par les conseillers municipaux ». Après les élections municipales, les conseillers municipaux se réunissent pour élire le maire parmi eux.</x:v>
      </x:c>
      <x:c r="M66" s="29" t="str">
        <x:v>Maire; Conseil municipal; Élections municipales</x:v>
      </x:c>
    </x:row>
    <x:row r="67">
      <x:c r="A67" s="24" t="str">
        <x:v>MS-NAT-T2-029</x:v>
      </x:c>
      <x:c r="B67" s="25" t="str">
        <x:v>NAT-T2-029</x:v>
      </x:c>
      <x:c r="C67" s="25" t="str">
        <x:v>Système institutionnel et politique français</x:v>
      </x:c>
      <x:c r="D67" s="25" t="str">
        <x:v>🔴 Difficile</x:v>
      </x:c>
      <x:c r="E67" s="28" t="str">
        <x:v>Lors d’un atelier civique à la mairie, une personne cherche à comprendre le rôle des responsables publics et des institutions. Un proche pense que la bonne réponse pourrait être « L'État ». Aidez-le à raisonner.</x:v>
      </x:c>
      <x:c r="F67" s="28" t="str">
        <x:v>Quelle collectivité territoriale organise les trains régionaux (TER) ?</x:v>
      </x:c>
      <x:c r="G67" s="28" t="str">
        <x:v>La commune.</x:v>
      </x:c>
      <x:c r="H67" s="28" t="str">
        <x:v>Le département.</x:v>
      </x:c>
      <x:c r="I67" s="28" t="str">
        <x:v>L'État.</x:v>
      </x:c>
      <x:c r="J67" s="28" t="str">
        <x:v>La région.</x:v>
      </x:c>
      <x:c r="K67" s="32" t="str">
        <x:v>D</x:v>
      </x:c>
      <x:c r="L67" s="28" t="str">
        <x:v>La bonne réponse est « La région ». Les régions organisent notamment les transports régionaux (comme les trains régionaux TER) et participent au développement économique et à l'aménagement du territoire.</x:v>
      </x:c>
      <x:c r="M67" s="29" t="str">
        <x:v>Région; TER; Transport</x:v>
      </x:c>
    </x:row>
    <x:row r="68">
      <x:c r="A68" s="24" t="str">
        <x:v>MS-NAT-T2-030</x:v>
      </x:c>
      <x:c r="B68" s="25" t="str">
        <x:v>NAT-T2-030</x:v>
      </x:c>
      <x:c r="C68" s="25" t="str">
        <x:v>Système institutionnel et politique français</x:v>
      </x:c>
      <x:c r="D68" s="25" t="str">
        <x:v>🔴 Difficile</x:v>
      </x:c>
      <x:c r="E68" s="28" t="str">
        <x:v>Une discussion sur les élections amène votre entourage à vérifier une règle du système politique français. Dans le groupe, la réponse « Par décret du Président » est avancée. Vous devez déterminer si elle est correcte.</x:v>
      </x:c>
      <x:c r="F68" s="28" t="str">
        <x:v>Comment la Constitution peut-elle être révisée ?</x:v>
      </x:c>
      <x:c r="G68" s="28" t="str">
        <x:v>Par référendum ou par le Parlement réuni en Congrès.</x:v>
      </x:c>
      <x:c r="H68" s="28" t="str">
        <x:v>Par décret du Président.</x:v>
      </x:c>
      <x:c r="I68" s="28" t="str">
        <x:v>Par décision du Premier ministre.</x:v>
      </x:c>
      <x:c r="J68" s="28" t="str">
        <x:v>Par un tribunal.</x:v>
      </x:c>
      <x:c r="K68" s="32" t="str">
        <x:v>A</x:v>
      </x:c>
      <x:c r="L68" s="28" t="str">
        <x:v>La bonne réponse est « Par référendum ou par le Parlement réuni en Congrès ». La Constitution est le texte juridique suprême. Sa révision suit une procédure spécifique, notamment par référendum ou par le Parlement réuni en Congrès (article 89 de la Constitution).</x:v>
      </x:c>
      <x:c r="M68" s="29" t="str">
        <x:v>Constitution; Référendum; Congrès</x:v>
      </x:c>
    </x:row>
    <x:row r="69">
      <x:c r="A69" s="24" t="str">
        <x:v>MS-NAT-T2-031</x:v>
      </x:c>
      <x:c r="B69" s="25" t="str">
        <x:v>NAT-T2-031</x:v>
      </x:c>
      <x:c r="C69" s="25" t="str">
        <x:v>Système institutionnel et politique français</x:v>
      </x:c>
      <x:c r="D69" s="25" t="str">
        <x:v>🔴 Difficile</x:v>
      </x:c>
      <x:c r="E69" s="28" t="str">
        <x:v>Un proche prépare une démarche citoyenne et souhaite clarifier le fonctionnement de la République et de ses institutions. Une personne hésite et choisit « Le Président de l'Assemblée nationale ». Vous l’aidez à retrouver la règle ou le repère juste.</x:v>
      </x:c>
      <x:c r="F69" s="28" t="str">
        <x:v>En cas de vacance de la présidence, qui assure provisoirement les fonctions de Président de la République ?</x:v>
      </x:c>
      <x:c r="G69" s="28" t="str">
        <x:v>Le Premier ministre.</x:v>
      </x:c>
      <x:c r="H69" s="28" t="str">
        <x:v>Le Président du Sénat.</x:v>
      </x:c>
      <x:c r="I69" s="28" t="str">
        <x:v>Le Président de l'Assemblée nationale.</x:v>
      </x:c>
      <x:c r="J69" s="28" t="str">
        <x:v>Le ministre de l'Intérieur.</x:v>
      </x:c>
      <x:c r="K69" s="32" t="str">
        <x:v>B</x:v>
      </x:c>
      <x:c r="L69" s="28" t="str">
        <x:v>La bonne réponse est « Le Président du Sénat ». Selon la Constitution, en cas de vacance de la présidence (décès, démission ou empêchement), le Président du Sénat assure provisoirement les fonctions de Président de la République jusqu'à l'élection d'un nouveau Président.</x:v>
      </x:c>
      <x:c r="M69" s="29" t="str">
        <x:v>Président du Sénat; Intérim; Président de la République</x:v>
      </x:c>
    </x:row>
    <x:row r="70">
      <x:c r="A70" s="24" t="str">
        <x:v>MS-NAT-T2-032</x:v>
      </x:c>
      <x:c r="B70" s="25" t="str">
        <x:v>NAT-T2-032</x:v>
      </x:c>
      <x:c r="C70" s="25" t="str">
        <x:v>Système institutionnel et politique français</x:v>
      </x:c>
      <x:c r="D70" s="25" t="str">
        <x:v>🔴 Difficile</x:v>
      </x:c>
      <x:c r="E70" s="28" t="str">
        <x:v>À l’occasion d’un échange sur la vie démocratique, un proche vous interroge sur le fonctionnement des institutions françaises. Un participant propose la réponse « Il juge les crimes ». Vous devez vérifier cette affirmation.</x:v>
      </x:c>
      <x:c r="F70" s="28" t="str">
        <x:v>Quel est le rôle du Conseil constitutionnel ?</x:v>
      </x:c>
      <x:c r="G70" s="28" t="str">
        <x:v>Il vote les lois.</x:v>
      </x:c>
      <x:c r="H70" s="28" t="str">
        <x:v>Il dirige le Gouvernement.</x:v>
      </x:c>
      <x:c r="I70" s="28" t="str">
        <x:v>Il veille au respect de la Constitution.</x:v>
      </x:c>
      <x:c r="J70" s="28" t="str">
        <x:v>Il juge les crimes.</x:v>
      </x:c>
      <x:c r="K70" s="32" t="str">
        <x:v>C</x:v>
      </x:c>
      <x:c r="L70" s="28" t="str">
        <x:v>La bonne réponse est « Il veille au respect de la Constitution ». Le Conseil constitutionnel contrôle la conformité des lois à la Constitution et veille au bon déroulement de certaines élections et référendums.</x:v>
      </x:c>
      <x:c r="M70" s="29" t="str">
        <x:v>Conseil constitutionnel; Constitution; Lois</x:v>
      </x:c>
    </x:row>
    <x:row r="71">
      <x:c r="A71" s="24" t="str">
        <x:v>MS-NAT-T2-033</x:v>
      </x:c>
      <x:c r="B71" s="25" t="str">
        <x:v>NAT-T2-033</x:v>
      </x:c>
      <x:c r="C71" s="25" t="str">
        <x:v>Système institutionnel et politique français</x:v>
      </x:c>
      <x:c r="D71" s="25" t="str">
        <x:v>🔴 Difficile</x:v>
      </x:c>
      <x:c r="E71" s="28" t="str">
        <x:v>Lors d’un atelier civique à la mairie, une personne cherche à comprendre le rôle des responsables publics et des institutions. Un proche pense que la bonne réponse pourrait être « Être député ». Aidez-le à raisonner.</x:v>
      </x:c>
      <x:c r="F71" s="28" t="str">
        <x:v>Que doit obtenir un candidat pour se présenter à l'élection présidentielle ?</x:v>
      </x:c>
      <x:c r="G71" s="28" t="str">
        <x:v>Être député.</x:v>
      </x:c>
      <x:c r="H71" s="28" t="str">
        <x:v>Être ministre.</x:v>
      </x:c>
      <x:c r="I71" s="28" t="str">
        <x:v>Être membre d'un parti politique.</x:v>
      </x:c>
      <x:c r="J71" s="28" t="str">
        <x:v>Obtenir 500 parrainages d'élus.</x:v>
      </x:c>
      <x:c r="K71" s="32" t="str">
        <x:v>D</x:v>
      </x:c>
      <x:c r="L71" s="28" t="str">
        <x:v>La bonne réponse est « Obtenir 500 parrainages d'élus ». Parmi les conditions prévues par la loi, un candidat à l'élection présidentielle doit recueillir 500 présentations (parrainages) d'élus habilités.</x:v>
      </x:c>
      <x:c r="M71" s="29" t="str">
        <x:v>Présidentielle; Parrainages; 500 signatures</x:v>
      </x:c>
    </x:row>
    <x:row r="72">
      <x:c r="A72" s="24" t="str">
        <x:v>MS-NAT-T2-034</x:v>
      </x:c>
      <x:c r="B72" s="25" t="str">
        <x:v>NAT-T2-034</x:v>
      </x:c>
      <x:c r="C72" s="25" t="str">
        <x:v>Système institutionnel et politique français</x:v>
      </x:c>
      <x:c r="D72" s="25" t="str">
        <x:v>🟡 Intermédiaire</x:v>
      </x:c>
      <x:c r="E72" s="28" t="str">
        <x:v>Une discussion sur les élections amène votre entourage à vérifier une règle du système politique français. Dans le groupe, la réponse « 98 » est avancée. Vous devez déterminer si elle est correcte.</x:v>
      </x:c>
      <x:c r="F72" s="28" t="str">
        <x:v>Combien de départements compte la France ?</x:v>
      </x:c>
      <x:c r="G72" s="28" t="str">
        <x:v>101.</x:v>
      </x:c>
      <x:c r="H72" s="28" t="str">
        <x:v>96.</x:v>
      </x:c>
      <x:c r="I72" s="28" t="str">
        <x:v>98.</x:v>
      </x:c>
      <x:c r="J72" s="28" t="str">
        <x:v>13.</x:v>
      </x:c>
      <x:c r="K72" s="32" t="str">
        <x:v>A</x:v>
      </x:c>
      <x:c r="L72" s="28" t="str">
        <x:v>La bonne réponse est « 101 ». La France compte 101 départements : 96 en métropole et 5 en outre-mer.</x:v>
      </x:c>
      <x:c r="M72" s="29" t="str">
        <x:v>Départements; Organisation territoriale; France</x:v>
      </x:c>
    </x:row>
    <x:row r="73">
      <x:c r="A73" s="24" t="str">
        <x:v>MS-NAT-T2-035</x:v>
      </x:c>
      <x:c r="B73" s="25" t="str">
        <x:v>NAT-T2-035</x:v>
      </x:c>
      <x:c r="C73" s="25" t="str">
        <x:v>Système institutionnel et politique français</x:v>
      </x:c>
      <x:c r="D73" s="25" t="str">
        <x:v>🟡 Intermédiaire</x:v>
      </x:c>
      <x:c r="E73" s="28" t="str">
        <x:v>Un proche prépare une démarche citoyenne et souhaite clarifier le fonctionnement de la République et de ses institutions. Une personne hésite et choisit « Régions et communes uniquement ». Vous l’aidez à retrouver la règle ou le repère juste.</x:v>
      </x:c>
      <x:c r="F73" s="28" t="str">
        <x:v>En quels niveaux le territoire français est-il découpé ?</x:v>
      </x:c>
      <x:c r="G73" s="28" t="str">
        <x:v>Cantons et arrondissements uniquement.</x:v>
      </x:c>
      <x:c r="H73" s="28" t="str">
        <x:v>Communes, départements et régions.</x:v>
      </x:c>
      <x:c r="I73" s="28" t="str">
        <x:v>Préfectures et ministères.</x:v>
      </x:c>
      <x:c r="J73" s="28" t="str">
        <x:v>Régions et communes uniquement.</x:v>
      </x:c>
      <x:c r="K73" s="32" t="str">
        <x:v>B</x:v>
      </x:c>
      <x:c r="L73" s="28" t="str">
        <x:v>La bonne réponse est « Communes, départements et régions ». L'organisation territoriale de la France repose principalement sur trois niveaux de collectivités territoriales : les communes, les départements et les régions, chacun exerçant des compétences spécifiques.</x:v>
      </x:c>
      <x:c r="M73" s="29" t="str">
        <x:v>Commune; Département; Région; Collectivités territoriales</x:v>
      </x:c>
    </x:row>
    <x:row r="74">
      <x:c r="A74" s="24" t="str">
        <x:v>MS-NAT-T2-036</x:v>
      </x:c>
      <x:c r="B74" s="25" t="str">
        <x:v>NAT-T2-036</x:v>
      </x:c>
      <x:c r="C74" s="25" t="str">
        <x:v>Système institutionnel et politique français</x:v>
      </x:c>
      <x:c r="D74" s="25" t="str">
        <x:v>🟡 Intermédiaire</x:v>
      </x:c>
      <x:c r="E74" s="28" t="str">
        <x:v>À l’occasion d’un échange sur la vie démocratique, un proche vous interroge sur le fonctionnement des institutions françaises. Un participant propose la réponse « Le maire ». Vous devez vérifier cette affirmation.</x:v>
      </x:c>
      <x:c r="F74" s="28" t="str">
        <x:v>Qui est le préfet ?</x:v>
      </x:c>
      <x:c r="G74" s="28" t="str">
        <x:v>Le maire.</x:v>
      </x:c>
      <x:c r="H74" s="28" t="str">
        <x:v>Le président du conseil départemental.</x:v>
      </x:c>
      <x:c r="I74" s="28" t="str">
        <x:v>Le représentant de l'État dans le département.</x:v>
      </x:c>
      <x:c r="J74" s="28" t="str">
        <x:v>Le député.</x:v>
      </x:c>
      <x:c r="K74" s="32" t="str">
        <x:v>C</x:v>
      </x:c>
      <x:c r="L74" s="28" t="str">
        <x:v>La bonne réponse est « Le représentant de l'État dans le département ». Le préfet représente l'État dans le département. Il veille notamment à l'application des lois et coordonne les services de l'État sur le territoire.</x:v>
      </x:c>
      <x:c r="M74" s="29" t="str">
        <x:v>Préfet; État; Département</x:v>
      </x:c>
    </x:row>
    <x:row r="75">
      <x:c r="A75" s="24" t="str">
        <x:v>MS-NAT-T2-037</x:v>
      </x:c>
      <x:c r="B75" s="25" t="str">
        <x:v>NAT-T2-037</x:v>
      </x:c>
      <x:c r="C75" s="25" t="str">
        <x:v>Système institutionnel et politique français</x:v>
      </x:c>
      <x:c r="D75" s="25" t="str">
        <x:v>🔴 Difficile</x:v>
      </x:c>
      <x:c r="E75" s="28" t="str">
        <x:v>Lors d’un atelier civique à la mairie, une personne cherche à comprendre le rôle des responsables publics et des institutions. Un proche pense que la bonne réponse pourrait être « Il rend la justice ». Aidez-le à raisonner.</x:v>
      </x:c>
      <x:c r="F75" s="28" t="str">
        <x:v>Quel est le rôle du Président de la République ?</x:v>
      </x:c>
      <x:c r="G75" s="28" t="str">
        <x:v>Il vote seul les lois.</x:v>
      </x:c>
      <x:c r="H75" s="28" t="str">
        <x:v>Il rend la justice.</x:v>
      </x:c>
      <x:c r="I75" s="28" t="str">
        <x:v>Il dirige les communes.</x:v>
      </x:c>
      <x:c r="J75" s="28" t="str">
        <x:v>Il est le chef de l'État, veille au respect de la Constitution et assure le fonctionnement des institutions.</x:v>
      </x:c>
      <x:c r="K75" s="32" t="str">
        <x:v>D</x:v>
      </x:c>
      <x:c r="L75" s="28" t="str">
        <x:v>La bonne réponse est « Il est le chef de l'État, veille au respect de la Constitution et assure le fonctionnement des institutions ». Le Président de la République est le chef de l'État. Il veille au respect de la Constitution, assure le fonctionnement régulier des pouvoirs publics et représente la France, notamment à l'étranger.</x:v>
      </x:c>
      <x:c r="M75" s="29" t="str">
        <x:v>Président de la République; Chef de l'État; Constitution</x:v>
      </x:c>
    </x:row>
    <x:row r="76">
      <x:c r="A76" s="24" t="str">
        <x:v>MS-NAT-T2-038</x:v>
      </x:c>
      <x:c r="B76" s="25" t="str">
        <x:v>NAT-T2-038</x:v>
      </x:c>
      <x:c r="C76" s="25" t="str">
        <x:v>Système institutionnel et politique français</x:v>
      </x:c>
      <x:c r="D76" s="25" t="str">
        <x:v>🔴 Difficile</x:v>
      </x:c>
      <x:c r="E76" s="28" t="str">
        <x:v>Une discussion sur les élections amène votre entourage à vérifier une règle du système politique français. Dans le groupe, la réponse « Il dirige le Parlement » est avancée. Vous devez déterminer si elle est correcte.</x:v>
      </x:c>
      <x:c r="F76" s="28" t="str">
        <x:v>Quel est le rôle du Premier ministre ?</x:v>
      </x:c>
      <x:c r="G76" s="28" t="str">
        <x:v>Il dirige l'action du Gouvernement et veille à l'exécution des lois.</x:v>
      </x:c>
      <x:c r="H76" s="28" t="str">
        <x:v>Il vote les lois.</x:v>
      </x:c>
      <x:c r="I76" s="28" t="str">
        <x:v>Il est le chef de l'État.</x:v>
      </x:c>
      <x:c r="J76" s="28" t="str">
        <x:v>Il dirige le Parlement.</x:v>
      </x:c>
      <x:c r="K76" s="32" t="str">
        <x:v>A</x:v>
      </x:c>
      <x:c r="L76" s="28" t="str">
        <x:v>La bonne réponse est « Il dirige l'action du Gouvernement et veille à l'exécution des lois ». Le Premier ministre dirige l'action du Gouvernement. Il coordonne le travail des ministres et veille à l'application des lois et des politiques publiques.</x:v>
      </x:c>
      <x:c r="M76" s="29" t="str">
        <x:v>Premier ministre; Gouvernement; Exécution des lois</x:v>
      </x:c>
    </x:row>
    <x:row r="77">
      <x:c r="A77" s="24" t="str">
        <x:v>MS-NAT-T2-039</x:v>
      </x:c>
      <x:c r="B77" s="25" t="str">
        <x:v>NAT-T2-039</x:v>
      </x:c>
      <x:c r="C77" s="25" t="str">
        <x:v>Système institutionnel et politique français</x:v>
      </x:c>
      <x:c r="D77" s="25" t="str">
        <x:v>🔴 Difficile</x:v>
      </x:c>
      <x:c r="E77" s="28" t="str">
        <x:v>Un proche prépare une démarche citoyenne et souhaite clarifier le fonctionnement de la République et de ses institutions. Une personne hésite et choisit « Il vote les lois ». Vous l’aidez à retrouver la règle ou le repère juste.</x:v>
      </x:c>
      <x:c r="F77" s="28" t="str">
        <x:v>Quel est le rôle du Défenseur des droits ?</x:v>
      </x:c>
      <x:c r="G77" s="28" t="str">
        <x:v>Il vote les lois.</x:v>
      </x:c>
      <x:c r="H77" s="28" t="str">
        <x:v>Il protège les droits et les libertés des personnes et lutte contre les discriminations.</x:v>
      </x:c>
      <x:c r="I77" s="28" t="str">
        <x:v>Il dirige la police.</x:v>
      </x:c>
      <x:c r="J77" s="28" t="str">
        <x:v>Il juge et condamne les personnes.</x:v>
      </x:c>
      <x:c r="K77" s="32" t="str">
        <x:v>B</x:v>
      </x:c>
      <x:c r="L77" s="28" t="str">
        <x:v>La bonne réponse est « Il protège les droits et les libertés des personnes et lutte contre les discriminations ». Le Défenseur des droits est une autorité indépendante. Il protège les droits et les libertés, lutte contre les discriminations et veille au respect des règles par les services publics.</x:v>
      </x:c>
      <x:c r="M77" s="29" t="str">
        <x:v>Défenseur des droits; Libertés; Discrimination</x:v>
      </x:c>
    </x:row>
    <x:row r="78">
      <x:c r="A78" s="24" t="str">
        <x:v>MS-NAT-T2-040</x:v>
      </x:c>
      <x:c r="B78" s="25" t="str">
        <x:v>NAT-T2-040</x:v>
      </x:c>
      <x:c r="C78" s="25" t="str">
        <x:v>Système institutionnel et politique français</x:v>
      </x:c>
      <x:c r="D78" s="25" t="str">
        <x:v>🔴 Difficile</x:v>
      </x:c>
      <x:c r="E78" s="28" t="str">
        <x:v>À l’occasion d’un échange sur la vie démocratique, un proche vous interroge sur le fonctionnement des institutions françaises. Un participant propose la réponse « 1957 ». Vous devez vérifier cette affirmation.</x:v>
      </x:c>
      <x:c r="F78" s="28" t="str">
        <x:v>En quelle année la citoyenneté européenne a-t-elle été créée ?</x:v>
      </x:c>
      <x:c r="G78" s="28" t="str">
        <x:v>1951.</x:v>
      </x:c>
      <x:c r="H78" s="28" t="str">
        <x:v>1957.</x:v>
      </x:c>
      <x:c r="I78" s="28" t="str">
        <x:v>1992.</x:v>
      </x:c>
      <x:c r="J78" s="28" t="str">
        <x:v>2002.</x:v>
      </x:c>
      <x:c r="K78" s="32" t="str">
        <x:v>C</x:v>
      </x:c>
      <x:c r="L78" s="28" t="str">
        <x:v>La bonne réponse est « 1992 ». La citoyenneté européenne a été créée par le traité de Maastricht en 1992. Elle complète la citoyenneté nationale et accorde certains droits aux citoyens des États membres de l'Union européenne.</x:v>
      </x:c>
      <x:c r="M78" s="29" t="str">
        <x:v>Citoyenneté européenne; 1992; Traité de Maastricht</x:v>
      </x:c>
    </x:row>
    <x:row r="79">
      <x:c r="A79" s="24" t="str">
        <x:v>MS-NAT-T2-041</x:v>
      </x:c>
      <x:c r="B79" s="25" t="str">
        <x:v>NAT-T2-041</x:v>
      </x:c>
      <x:c r="C79" s="25" t="str">
        <x:v>Système institutionnel et politique français</x:v>
      </x:c>
      <x:c r="D79" s="25" t="str">
        <x:v>🔴 Difficile</x:v>
      </x:c>
      <x:c r="E79" s="28" t="str">
        <x:v>Lors d’un atelier civique à la mairie, une personne cherche à comprendre le rôle des responsables publics et des institutions. Un proche pense que la bonne réponse pourrait être « La Serbie ». Aidez-le à raisonner.</x:v>
      </x:c>
      <x:c r="F79" s="28" t="str">
        <x:v>Quel est le dernier pays à avoir rejoint l'Union européenne ?</x:v>
      </x:c>
      <x:c r="G79" s="28" t="str">
        <x:v>La Bulgarie.</x:v>
      </x:c>
      <x:c r="H79" s="28" t="str">
        <x:v>La Roumanie.</x:v>
      </x:c>
      <x:c r="I79" s="28" t="str">
        <x:v>La Serbie.</x:v>
      </x:c>
      <x:c r="J79" s="28" t="str">
        <x:v>La Croatie.</x:v>
      </x:c>
      <x:c r="K79" s="32" t="str">
        <x:v>D</x:v>
      </x:c>
      <x:c r="L79" s="28" t="str">
        <x:v>La bonne réponse est « La Croatie ». La Croatie est devenue le 28ᵉ État membre de l'Union européenne le 1ᵉʳ juillet 2013.</x:v>
      </x:c>
      <x:c r="M79" s="29" t="str">
        <x:v>Croatie; Union européenne; 2013</x:v>
      </x:c>
    </x:row>
    <x:row r="80">
      <x:c r="A80" s="24" t="str">
        <x:v>MS-NAT-T2-042</x:v>
      </x:c>
      <x:c r="B80" s="25" t="str">
        <x:v>NAT-T2-042</x:v>
      </x:c>
      <x:c r="C80" s="25" t="str">
        <x:v>Système institutionnel et politique français</x:v>
      </x:c>
      <x:c r="D80" s="25" t="str">
        <x:v>🔴 Difficile</x:v>
      </x:c>
      <x:c r="E80" s="28" t="str">
        <x:v>Une discussion sur les élections amène votre entourage à vérifier une règle du système politique français. Dans le groupe, la réponse « Liberté, Égalité, Fraternité » est avancée. Vous devez déterminer si elle est correcte.</x:v>
      </x:c>
      <x:c r="F80" s="28" t="str">
        <x:v>Quelle est la devise de l'Union européenne ?</x:v>
      </x:c>
      <x:c r="G80" s="28" t="str">
        <x:v>« Unie dans la diversité ».</x:v>
      </x:c>
      <x:c r="H80" s="28" t="str">
        <x:v>Liberté, Égalité, Fraternité.</x:v>
      </x:c>
      <x:c r="I80" s="28" t="str">
        <x:v>Paix et justice.</x:v>
      </x:c>
      <x:c r="J80" s="28" t="str">
        <x:v>Tous pour un.</x:v>
      </x:c>
      <x:c r="K80" s="32" t="str">
        <x:v>A</x:v>
      </x:c>
      <x:c r="L80" s="28" t="str">
        <x:v>La bonne réponse est « « Unie dans la diversité » ». La devise de l'Union européenne est « Unie dans la diversité ». Elle souligne que les États membres coopèrent tout en conservant leurs langues, leurs cultures et leurs traditions.</x:v>
      </x:c>
      <x:c r="M80" s="29" t="str">
        <x:v>Union européenne; Devise; Diversité</x:v>
      </x:c>
    </x:row>
    <x:row r="81">
      <x:c r="A81" s="24" t="str">
        <x:v>MS-NAT-T2-043</x:v>
      </x:c>
      <x:c r="B81" s="25" t="str">
        <x:v>NAT-T2-043</x:v>
      </x:c>
      <x:c r="C81" s="25" t="str">
        <x:v>Système institutionnel et politique français</x:v>
      </x:c>
      <x:c r="D81" s="25" t="str">
        <x:v>🔴 Difficile</x:v>
      </x:c>
      <x:c r="E81" s="28" t="str">
        <x:v>Un proche prépare une démarche citoyenne et souhaite clarifier le fonctionnement de la République et de ses institutions. Une personne hésite et choisit « Chopin ». Vous l’aidez à retrouver la règle ou le repère juste.</x:v>
      </x:c>
      <x:c r="F81" s="28" t="str">
        <x:v>Qui a composé l'hymne européen ?</x:v>
      </x:c>
      <x:c r="G81" s="28" t="str">
        <x:v>Mozart.</x:v>
      </x:c>
      <x:c r="H81" s="28" t="str">
        <x:v>Ludwig van Beethoven.</x:v>
      </x:c>
      <x:c r="I81" s="28" t="str">
        <x:v>Chopin.</x:v>
      </x:c>
      <x:c r="J81" s="28" t="str">
        <x:v>Victor Hugo.</x:v>
      </x:c>
      <x:c r="K81" s="32" t="str">
        <x:v>B</x:v>
      </x:c>
      <x:c r="L81" s="28" t="str">
        <x:v>La bonne réponse est « Ludwig van Beethoven ». L'hymne européen est tiré de l'Ode à la joie, composée par Ludwig van Beethoven, d'après un poème de Friedrich Schiller.</x:v>
      </x:c>
      <x:c r="M81" s="29" t="str">
        <x:v>Beethoven; Ode à la joie; Union européenne</x:v>
      </x:c>
    </x:row>
    <x:row r="82">
      <x:c r="A82" s="24" t="str">
        <x:v>MS-NAT-T2-044</x:v>
      </x:c>
      <x:c r="B82" s="25" t="str">
        <x:v>NAT-T2-044</x:v>
      </x:c>
      <x:c r="C82" s="25" t="str">
        <x:v>Système institutionnel et politique français</x:v>
      </x:c>
      <x:c r="D82" s="25" t="str">
        <x:v>🔴 Difficile</x:v>
      </x:c>
      <x:c r="E82" s="28" t="str">
        <x:v>À l’occasion d’un échange sur la vie démocratique, un proche vous interroge sur le fonctionnement des institutions françaises. Un participant propose la réponse « Le 9 décembre ». Vous devez vérifier cette affirmation.</x:v>
      </x:c>
      <x:c r="F82" s="28" t="str">
        <x:v>Quand célèbre-t-on la Journée de l'Europe ?</x:v>
      </x:c>
      <x:c r="G82" s="28" t="str">
        <x:v>Le 8 mai.</x:v>
      </x:c>
      <x:c r="H82" s="28" t="str">
        <x:v>Le 14 juillet.</x:v>
      </x:c>
      <x:c r="I82" s="28" t="str">
        <x:v>Le 9 mai.</x:v>
      </x:c>
      <x:c r="J82" s="28" t="str">
        <x:v>Le 9 décembre.</x:v>
      </x:c>
      <x:c r="K82" s="32" t="str">
        <x:v>C</x:v>
      </x:c>
      <x:c r="L82" s="28" t="str">
        <x:v>La bonne réponse est « Le 9 mai ». La Journée de l'Europe est célébrée le 9 mai, en mémoire de la déclaration Schuman de 1950, considérée comme le point de départ de la construction européenne.</x:v>
      </x:c>
      <x:c r="M82" s="29" t="str">
        <x:v>9 mai; Journée de l'Europe; Schuman</x:v>
      </x:c>
    </x:row>
    <x:row r="83">
      <x:c r="A83" s="24" t="str">
        <x:v>MS-NAT-T2-045</x:v>
      </x:c>
      <x:c r="B83" s="25" t="str">
        <x:v>NAT-T2-045</x:v>
      </x:c>
      <x:c r="C83" s="25" t="str">
        <x:v>Système institutionnel et politique français</x:v>
      </x:c>
      <x:c r="D83" s="25" t="str">
        <x:v>🔴 Difficile</x:v>
      </x:c>
      <x:c r="E83" s="28" t="str">
        <x:v>Lors d’un atelier civique à la mairie, une personne cherche à comprendre le rôle des responsables publics et des institutions. Un proche pense que la bonne réponse pourrait être « Bruxelles ». Aidez-le à raisonner.</x:v>
      </x:c>
      <x:c r="F83" s="28" t="str">
        <x:v>Où siège la Banque centrale européenne (BCE) ?</x:v>
      </x:c>
      <x:c r="G83" s="28" t="str">
        <x:v>Bruxelles.</x:v>
      </x:c>
      <x:c r="H83" s="28" t="str">
        <x:v>Strasbourg.</x:v>
      </x:c>
      <x:c r="I83" s="28" t="str">
        <x:v>Luxembourg.</x:v>
      </x:c>
      <x:c r="J83" s="28" t="str">
        <x:v>À Francfort (Allemagne).</x:v>
      </x:c>
      <x:c r="K83" s="32" t="str">
        <x:v>D</x:v>
      </x:c>
      <x:c r="L83" s="28" t="str">
        <x:v>La bonne réponse est « À Francfort (Allemagne) ». La Banque centrale européenne (BCE) est installée à Francfort, en Allemagne. Elle est responsable de la politique monétaire de la zone euro.</x:v>
      </x:c>
      <x:c r="M83" s="29" t="str">
        <x:v>Banque centrale européenne; BCE; Francfort; Zone euro</x:v>
      </x:c>
    </x:row>
    <x:row r="84">
      <x:c r="A84" s="24" t="str">
        <x:v>MS-NAT-T2-046</x:v>
      </x:c>
      <x:c r="B84" s="25" t="str">
        <x:v>NAT-T2-046</x:v>
      </x:c>
      <x:c r="C84" s="25" t="str">
        <x:v>Système institutionnel et politique français</x:v>
      </x:c>
      <x:c r="D84" s="25" t="str">
        <x:v>🔴 Difficile</x:v>
      </x:c>
      <x:c r="E84" s="28" t="str">
        <x:v>Une discussion sur les élections amène votre entourage à vérifier une règle du système politique français. Dans le groupe, la réponse « Luxembourg » est avancée. Vous devez déterminer si elle est correcte.</x:v>
      </x:c>
      <x:c r="F84" s="28" t="str">
        <x:v>Où siège la Commission européenne ?</x:v>
      </x:c>
      <x:c r="G84" s="28" t="str">
        <x:v>À Bruxelles (Belgique).</x:v>
      </x:c>
      <x:c r="H84" s="28" t="str">
        <x:v>Strasbourg.</x:v>
      </x:c>
      <x:c r="I84" s="28" t="str">
        <x:v>Luxembourg.</x:v>
      </x:c>
      <x:c r="J84" s="28" t="str">
        <x:v>Francfort.</x:v>
      </x:c>
      <x:c r="K84" s="32" t="str">
        <x:v>A</x:v>
      </x:c>
      <x:c r="L84" s="28" t="str">
        <x:v>La bonne réponse est « À Bruxelles (Belgique) ». La Commission européenne est installée à Bruxelles. Elle propose les lois européennes, veille à leur application et représente l'intérêt général de l'Union européenne.</x:v>
      </x:c>
      <x:c r="M84" s="29" t="str">
        <x:v>Commission européenne; Bruxelles; Union européenne</x:v>
      </x:c>
    </x:row>
    <x:row r="85">
      <x:c r="A85" s="24" t="str">
        <x:v>MS-NAT-T2-047</x:v>
      </x:c>
      <x:c r="B85" s="25" t="str">
        <x:v>NAT-T2-047</x:v>
      </x:c>
      <x:c r="C85" s="25" t="str">
        <x:v>Système institutionnel et politique français</x:v>
      </x:c>
      <x:c r="D85" s="25" t="str">
        <x:v>🔴 Difficile</x:v>
      </x:c>
      <x:c r="E85" s="28" t="str">
        <x:v>Un proche prépare une démarche citoyenne et souhaite clarifier le fonctionnement de la République et de ses institutions. Une personne hésite et choisit « Les sénateurs ». Vous l’aidez à retrouver la règle ou le repère juste.</x:v>
      </x:c>
      <x:c r="F85" s="28" t="str">
        <x:v>De qui le Parlement européen est-il composé ?</x:v>
      </x:c>
      <x:c r="G85" s="28" t="str">
        <x:v>Les ministres.</x:v>
      </x:c>
      <x:c r="H85" s="28" t="str">
        <x:v>Les députés européens.</x:v>
      </x:c>
      <x:c r="I85" s="28" t="str">
        <x:v>Les commissaires européens.</x:v>
      </x:c>
      <x:c r="J85" s="28" t="str">
        <x:v>Les sénateurs.</x:v>
      </x:c>
      <x:c r="K85" s="32" t="str">
        <x:v>B</x:v>
      </x:c>
      <x:c r="L85" s="28" t="str">
        <x:v>La bonne réponse est « Les députés européens ». Le Parlement européen est composé de députés européens, élus directement par les citoyens des États membres de l'Union européenne.</x:v>
      </x:c>
      <x:c r="M85" s="29" t="str">
        <x:v>Parlement européen; Députés européens; Eurodéputés</x:v>
      </x:c>
    </x:row>
    <x:row r="86">
      <x:c r="A86" s="24" t="str">
        <x:v>MS-NAT-T2-048</x:v>
      </x:c>
      <x:c r="B86" s="25" t="str">
        <x:v>NAT-T2-048</x:v>
      </x:c>
      <x:c r="C86" s="25" t="str">
        <x:v>Système institutionnel et politique français</x:v>
      </x:c>
      <x:c r="D86" s="25" t="str">
        <x:v>🔴 Difficile</x:v>
      </x:c>
      <x:c r="E86" s="28" t="str">
        <x:v>À l’occasion d’un échange sur la vie démocratique, un proche vous interroge sur le fonctionnement des institutions françaises. Un participant propose la réponse « 26 ». Vous devez vérifier cette affirmation.</x:v>
      </x:c>
      <x:c r="F86" s="28" t="str">
        <x:v>Combien d'États compte aujourd'hui l'Union européenne ?</x:v>
      </x:c>
      <x:c r="G86" s="28" t="str">
        <x:v>26.</x:v>
      </x:c>
      <x:c r="H86" s="28" t="str">
        <x:v>28.</x:v>
      </x:c>
      <x:c r="I86" s="28" t="str">
        <x:v>27 États.</x:v>
      </x:c>
      <x:c r="J86" s="28" t="str">
        <x:v>29.</x:v>
      </x:c>
      <x:c r="K86" s="32" t="str">
        <x:v>C</x:v>
      </x:c>
      <x:c r="L86" s="28" t="str">
        <x:v>La bonne réponse est « 27 États ». Depuis le départ du Royaume-Uni en 2020, l'Union européenne compte 27 États membres.</x:v>
      </x:c>
      <x:c r="M86" s="29" t="str">
        <x:v>Union européenne; 27 États; États membres</x:v>
      </x:c>
    </x:row>
    <x:row r="87">
      <x:c r="A87" s="24" t="str">
        <x:v>MS-NAT-T2-049</x:v>
      </x:c>
      <x:c r="B87" s="25" t="str">
        <x:v>NAT-T2-049</x:v>
      </x:c>
      <x:c r="C87" s="25" t="str">
        <x:v>Système institutionnel et politique français</x:v>
      </x:c>
      <x:c r="D87" s="25" t="str">
        <x:v>🔴 Difficile</x:v>
      </x:c>
      <x:c r="E87" s="28" t="str">
        <x:v>Lors d’un atelier civique à la mairie, une personne cherche à comprendre le rôle des responsables publics et des institutions. Un proche pense que la bonne réponse pourrait être « 1957 ». Aidez-le à raisonner.</x:v>
      </x:c>
      <x:c r="F87" s="28" t="str">
        <x:v>En quelle année le traité de Maastricht a-t-il été signé ?</x:v>
      </x:c>
      <x:c r="G87" s="28" t="str">
        <x:v>1951.</x:v>
      </x:c>
      <x:c r="H87" s="28" t="str">
        <x:v>1957.</x:v>
      </x:c>
      <x:c r="I87" s="28" t="str">
        <x:v>2002.</x:v>
      </x:c>
      <x:c r="J87" s="28" t="str">
        <x:v>1992.</x:v>
      </x:c>
      <x:c r="K87" s="32" t="str">
        <x:v>D</x:v>
      </x:c>
      <x:c r="L87" s="28" t="str">
        <x:v>La bonne réponse est « 1992 ». Le traité de Maastricht a été signé en 1992. Il crée officiellement l'Union européenne et instaure notamment la citoyenneté européenne.</x:v>
      </x:c>
      <x:c r="M87" s="29" t="str">
        <x:v>Maastricht; 1992; Union européenne</x:v>
      </x:c>
    </x:row>
    <x:row r="88">
      <x:c r="A88" s="24" t="str">
        <x:v>MS-NAT-T2-050</x:v>
      </x:c>
      <x:c r="B88" s="25" t="str">
        <x:v>NAT-T2-050</x:v>
      </x:c>
      <x:c r="C88" s="25" t="str">
        <x:v>Système institutionnel et politique français</x:v>
      </x:c>
      <x:c r="D88" s="25" t="str">
        <x:v>🟢 Facile</x:v>
      </x:c>
      <x:c r="E88" s="28" t="str">
        <x:v>Une discussion sur les élections amène votre entourage à vérifier une règle du système politique français. Dans le groupe, la réponse « Le traité de Lisbonne » est avancée. Vous devez déterminer si elle est correcte.</x:v>
      </x:c>
      <x:c r="F88" s="28" t="str">
        <x:v>Quel traité a créé officiellement l'Union européenne ?</x:v>
      </x:c>
      <x:c r="G88" s="28" t="str">
        <x:v>Le traité de Maastricht.</x:v>
      </x:c>
      <x:c r="H88" s="28" t="str">
        <x:v>Le traité de Versailles.</x:v>
      </x:c>
      <x:c r="I88" s="28" t="str">
        <x:v>Le traité de Rome.</x:v>
      </x:c>
      <x:c r="J88" s="28" t="str">
        <x:v>Le traité de Lisbonne.</x:v>
      </x:c>
      <x:c r="K88" s="32" t="str">
        <x:v>A</x:v>
      </x:c>
      <x:c r="L88" s="28" t="str">
        <x:v>La bonne réponse est « Le traité de Maastricht ». Le traité de Maastricht, signé en 1992, marque la naissance officielle de l'Union européenne et crée la citoyenneté européenne. À connaître par cœur pour l'examen.</x:v>
      </x:c>
      <x:c r="M88" s="29" t="str">
        <x:v>Traité de Maastricht; Union européenne; 1992</x:v>
      </x:c>
    </x:row>
    <x:row r="89">
      <x:c r="A89" s="24" t="str">
        <x:v>MS-NAT-T2-051</x:v>
      </x:c>
      <x:c r="B89" s="25" t="str">
        <x:v>NAT-T2-051</x:v>
      </x:c>
      <x:c r="C89" s="25" t="str">
        <x:v>Système institutionnel et politique français</x:v>
      </x:c>
      <x:c r="D89" s="25" t="str">
        <x:v>🟡 Intermédiaire</x:v>
      </x:c>
      <x:c r="E89" s="28" t="str">
        <x:v>Un proche prépare une démarche citoyenne et souhaite clarifier le fonctionnement de la République et de ses institutions. Une personne hésite et choisit « La Norvège ». Vous l’aidez à retrouver la règle ou le repère juste.</x:v>
      </x:c>
      <x:c r="F89" s="28" t="str">
        <x:v>Quel pays a quitté l'Union européenne (Brexit) ?</x:v>
      </x:c>
      <x:c r="G89" s="28" t="str">
        <x:v>La Norvège.</x:v>
      </x:c>
      <x:c r="H89" s="28" t="str">
        <x:v>Le Royaume-Uni.</x:v>
      </x:c>
      <x:c r="I89" s="28" t="str">
        <x:v>La Suisse.</x:v>
      </x:c>
      <x:c r="J89" s="28" t="str">
        <x:v>L'Irlande.</x:v>
      </x:c>
      <x:c r="K89" s="32" t="str">
        <x:v>B</x:v>
      </x:c>
      <x:c r="L89" s="28" t="str">
        <x:v>La bonne réponse est « Le Royaume-Uni ». Le Royaume-Uni a quitté officiellement l'Union européenne le 31 janvier 2020. Cet événement est appelé le Brexit.</x:v>
      </x:c>
      <x:c r="M89" s="29" t="str">
        <x:v>Brexit; Royaume-Uni; Union européenne</x:v>
      </x:c>
    </x:row>
    <x:row r="90">
      <x:c r="A90" s="24" t="str">
        <x:v>MS-NAT-T2-052</x:v>
      </x:c>
      <x:c r="B90" s="25" t="str">
        <x:v>NAT-T2-052</x:v>
      </x:c>
      <x:c r="C90" s="25" t="str">
        <x:v>Système institutionnel et politique français</x:v>
      </x:c>
      <x:c r="D90" s="25" t="str">
        <x:v>🔴 Difficile</x:v>
      </x:c>
      <x:c r="E90" s="28" t="str">
        <x:v>À l’occasion d’un échange sur la vie démocratique, un proche vous interroge sur le fonctionnement des institutions françaises. Un participant propose la réponse « Le Beau Danube bleu ». Vous devez vérifier cette affirmation.</x:v>
      </x:c>
      <x:c r="F90" s="28" t="str">
        <x:v>Comment s'appelle l'hymne de l'Union européenne ?</x:v>
      </x:c>
      <x:c r="G90" s="28" t="str">
        <x:v>La Marseillaise.</x:v>
      </x:c>
      <x:c r="H90" s="28" t="str">
        <x:v>Le Beau Danube bleu.</x:v>
      </x:c>
      <x:c r="I90" s="28" t="str">
        <x:v>L'Ode à la joie.</x:v>
      </x:c>
      <x:c r="J90" s="28" t="str">
        <x:v>L'Hymne à la joie.</x:v>
      </x:c>
      <x:c r="K90" s="32" t="str">
        <x:v>C</x:v>
      </x:c>
      <x:c r="L90" s="28" t="str">
        <x:v>La bonne réponse est « L'Ode à la joie ». L'hymne européen est l'Ode à la joie, extrait de la 9ᵉ Symphonie de Ludwig van Beethoven.</x:v>
      </x:c>
      <x:c r="M90" s="29" t="str">
        <x:v>Ode à la joie; Beethoven; Union européenne</x:v>
      </x:c>
    </x:row>
    <x:row r="91">
      <x:c r="A91" s="24" t="str">
        <x:v>MS-NAT-T2-053</x:v>
      </x:c>
      <x:c r="B91" s="25" t="str">
        <x:v>NAT-T2-053</x:v>
      </x:c>
      <x:c r="C91" s="25" t="str">
        <x:v>Système institutionnel et politique français</x:v>
      </x:c>
      <x:c r="D91" s="25" t="str">
        <x:v>🔴 Difficile</x:v>
      </x:c>
      <x:c r="E91" s="28" t="str">
        <x:v>Lors d’un atelier civique à la mairie, une personne cherche à comprendre le rôle des responsables publics et des institutions. Un proche pense que la bonne réponse pourrait être « Des bandes bleues et blanches ». Aidez-le à raisonner.</x:v>
      </x:c>
      <x:c r="F91" s="28" t="str">
        <x:v>Comment est composé le drapeau européen ?</x:v>
      </x:c>
      <x:c r="G91" s="28" t="str">
        <x:v>Une étoile par État membre.</x:v>
      </x:c>
      <x:c r="H91" s="28" t="str">
        <x:v>Vingt-sept étoiles.</x:v>
      </x:c>
      <x:c r="I91" s="28" t="str">
        <x:v>Des bandes bleues et blanches.</x:v>
      </x:c>
      <x:c r="J91" s="28" t="str">
        <x:v>Douze étoiles dorées sur fond bleu.</x:v>
      </x:c>
      <x:c r="K91" s="32" t="str">
        <x:v>D</x:v>
      </x:c>
      <x:c r="L91" s="28" t="str">
        <x:v>La bonne réponse est « Douze étoiles dorées sur fond bleu ». Les douze étoiles symbolisent l'unité, la solidarité et l'harmonie entre les peuples d'Europe. Leur nombre n'est pas lié au nombre d'États membres.</x:v>
      </x:c>
      <x:c r="M91" s="29" t="str">
        <x:v>Drapeau européen; Douze étoiles; Fond bleu</x:v>
      </x:c>
    </x:row>
    <x:row r="92">
      <x:c r="A92" s="24" t="str">
        <x:v>MS-NAT-T2-054</x:v>
      </x:c>
      <x:c r="B92" s="25" t="str">
        <x:v>NAT-T2-054</x:v>
      </x:c>
      <x:c r="C92" s="25" t="str">
        <x:v>Système institutionnel et politique français</x:v>
      </x:c>
      <x:c r="D92" s="25" t="str">
        <x:v>🔴 Difficile</x:v>
      </x:c>
      <x:c r="E92" s="28" t="str">
        <x:v>Une discussion sur les élections amène votre entourage à vérifier une règle du système politique français. Dans le groupe, la réponse « Les gouvernements » est avancée. Vous devez déterminer si elle est correcte.</x:v>
      </x:c>
      <x:c r="F92" s="28" t="str">
        <x:v>Qui élit les députés européens ?</x:v>
      </x:c>
      <x:c r="G92" s="28" t="str">
        <x:v>Les citoyens des États membres de l'Union européenne.</x:v>
      </x:c>
      <x:c r="H92" s="28" t="str">
        <x:v>Les gouvernements.</x:v>
      </x:c>
      <x:c r="I92" s="28" t="str">
        <x:v>Les chefs d'État.</x:v>
      </x:c>
      <x:c r="J92" s="28" t="str">
        <x:v>La Commission européenne.</x:v>
      </x:c>
      <x:c r="K92" s="32" t="str">
        <x:v>A</x:v>
      </x:c>
      <x:c r="L92" s="28" t="str">
        <x:v>La bonne réponse est « Les citoyens des États membres de l'Union européenne ». Tous les cinq ans, les citoyens de chaque État membre élisent leurs représentants au Parlement européen.</x:v>
      </x:c>
      <x:c r="M92" s="29" t="str">
        <x:v>Députés européens; Élections européennes; Citoyens</x:v>
      </x:c>
    </x:row>
    <x:row r="93">
      <x:c r="A93" s="24" t="str">
        <x:v>MS-NAT-T2-055</x:v>
      </x:c>
      <x:c r="B93" s="25" t="str">
        <x:v>NAT-T2-055</x:v>
      </x:c>
      <x:c r="C93" s="25" t="str">
        <x:v>Système institutionnel et politique français</x:v>
      </x:c>
      <x:c r="D93" s="25" t="str">
        <x:v>🔴 Difficile</x:v>
      </x:c>
      <x:c r="E93" s="28" t="str">
        <x:v>Un proche prépare une démarche citoyenne et souhaite clarifier le fonctionnement de la République et de ses institutions. Une personne hésite et choisit « Luxembourg ». Vous l’aidez à retrouver la règle ou le repère juste.</x:v>
      </x:c>
      <x:c r="F93" s="28" t="str">
        <x:v>Où siège officiellement le Parlement européen ?</x:v>
      </x:c>
      <x:c r="G93" s="28" t="str">
        <x:v>Bruxelles.</x:v>
      </x:c>
      <x:c r="H93" s="28" t="str">
        <x:v>À Strasbourg.</x:v>
      </x:c>
      <x:c r="I93" s="28" t="str">
        <x:v>Luxembourg.</x:v>
      </x:c>
      <x:c r="J93" s="28" t="str">
        <x:v>Francfort.</x:v>
      </x:c>
      <x:c r="K93" s="32" t="str">
        <x:v>B</x:v>
      </x:c>
      <x:c r="L93" s="28" t="str">
        <x:v>La bonne réponse est « À Strasbourg ». Le Parlement européen a son siège officiel à Strasbourg, où se tiennent les sessions plénières. Une partie importante de ses travaux se déroule également à Bruxelles.</x:v>
      </x:c>
      <x:c r="M93" s="29" t="str">
        <x:v>Strasbourg; Parlement européen; Union européenne</x:v>
      </x:c>
    </x:row>
    <x:row r="94">
      <x:c r="A94" s="24" t="str">
        <x:v>MS-NAT-T3-001</x:v>
      </x:c>
      <x:c r="B94" s="25" t="str">
        <x:v>NAT-T3-001</x:v>
      </x:c>
      <x:c r="C94" s="25" t="str">
        <x:v>Droits et devoirs</x:v>
      </x:c>
      <x:c r="D94" s="25" t="str">
        <x:v>🔴 Difficile</x:v>
      </x:c>
      <x:c r="E94" s="28" t="str">
        <x:v>Dans une situation de la vie quotidienne, une personne souhaite vérifier quels droits et quels devoirs s’appliquent en France. Un participant propose la réponse « Faire fermer une entreprise ». Vous devez vérifier cette affirmation.</x:v>
      </x:c>
      <x:c r="F94" s="28" t="str">
        <x:v>Quel est l'objectif du droit de grève ?</x:v>
      </x:c>
      <x:c r="G94" s="28" t="str">
        <x:v>Défendre les intérêts professionnels des salariés.</x:v>
      </x:c>
      <x:c r="H94" s="28" t="str">
        <x:v>Ne plus travailler quand on le souhaite, sans raison.</x:v>
      </x:c>
      <x:c r="I94" s="28" t="str">
        <x:v>Refuser définitivement de travailler.</x:v>
      </x:c>
      <x:c r="J94" s="28" t="str">
        <x:v>Faire fermer une entreprise.</x:v>
      </x:c>
      <x:c r="K94" s="32" t="str">
        <x:v>A</x:v>
      </x:c>
      <x:c r="L94" s="28" t="str">
        <x:v>La bonne réponse est « Défendre les intérêts professionnels des salariés ». Le droit de grève est une liberté reconnue par la Constitution. Il permet aux salariés de cesser collectivement le travail afin de défendre leurs intérêts professionnels.</x:v>
      </x:c>
      <x:c r="M94" s="29" t="str">
        <x:v>Grève; Salariés; Travail; Constitution</x:v>
      </x:c>
    </x:row>
    <x:row r="95">
      <x:c r="A95" s="24" t="str">
        <x:v>MS-NAT-T3-002</x:v>
      </x:c>
      <x:c r="B95" s="25" t="str">
        <x:v>NAT-T3-002</x:v>
      </x:c>
      <x:c r="C95" s="25" t="str">
        <x:v>Droits et devoirs</x:v>
      </x:c>
      <x:c r="D95" s="25" t="str">
        <x:v>🔴 Difficile</x:v>
      </x:c>
      <x:c r="E95" s="28" t="str">
        <x:v>Au travail ou dans l’espace public, un proche hésite sur une règle liée aux droits, aux libertés ou aux obligations. Un proche pense que la bonne réponse pourrait être « Les opinions politiques ». Aidez-le à raisonner.</x:v>
      </x:c>
      <x:c r="F95" s="28" t="str">
        <x:v>Au nom de quoi certaines libertés peuvent-elles être limitées par la loi ?</x:v>
      </x:c>
      <x:c r="G95" s="28" t="str">
        <x:v>Les opinions politiques.</x:v>
      </x:c>
      <x:c r="H95" s="28" t="str">
        <x:v>L'intérêt général.</x:v>
      </x:c>
      <x:c r="I95" s="28" t="str">
        <x:v>Une religion.</x:v>
      </x:c>
      <x:c r="J95" s="28" t="str">
        <x:v>Les intérêts d'un groupe.</x:v>
      </x:c>
      <x:c r="K95" s="32" t="str">
        <x:v>B</x:v>
      </x:c>
      <x:c r="L95" s="28" t="str">
        <x:v>La bonne réponse est « L'intérêt général ». Certaines libertés peuvent être limitées afin de protéger l'intérêt général, par exemple pour assurer la sécurité, la santé publique ou les droits d'autrui.</x:v>
      </x:c>
      <x:c r="M95" s="29" t="str">
        <x:v>Intérêt général; Libertés; Droits</x:v>
      </x:c>
    </x:row>
    <x:row r="96">
      <x:c r="A96" s="24" t="str">
        <x:v>MS-NAT-T3-003</x:v>
      </x:c>
      <x:c r="B96" s="25" t="str">
        <x:v>NAT-T3-003</x:v>
      </x:c>
      <x:c r="C96" s="25" t="str">
        <x:v>Droits et devoirs</x:v>
      </x:c>
      <x:c r="D96" s="25" t="str">
        <x:v>🔴 Difficile</x:v>
      </x:c>
      <x:c r="E96" s="28" t="str">
        <x:v>Pendant un atelier d’accès aux droits, une personne vous demande de l’aider à identifier la règle applicable. Dans le groupe, la réponse « Les hommes naissent inégaux selon leur naissance » est avancée. Vous devez déterminer si elle est correcte.</x:v>
      </x:c>
      <x:c r="F96" s="28" t="str">
        <x:v>Que dit l'article premier de la Déclaration des droits de l'Homme et du Citoyen de 1789 ?</x:v>
      </x:c>
      <x:c r="G96" s="28" t="str">
        <x:v>Les hommes doivent respecter le roi.</x:v>
      </x:c>
      <x:c r="H96" s="28" t="str">
        <x:v>Les hommes naissent inégaux selon leur naissance.</x:v>
      </x:c>
      <x:c r="I96" s="28" t="str">
        <x:v>Les hommes naissent et demeurent libres et égaux en droits.</x:v>
      </x:c>
      <x:c r="J96" s="28" t="str">
        <x:v>Les hommes doivent appartenir à une religion.</x:v>
      </x:c>
      <x:c r="K96" s="32" t="str">
        <x:v>C</x:v>
      </x:c>
      <x:c r="L96" s="28" t="str">
        <x:v>La bonne réponse est « Les hommes naissent et demeurent libres et égaux en droits ». L'article premier de la Déclaration des droits de l'Homme et du Citoyen de 1789 affirme : « Les hommes naissent et demeurent libres et égaux en droits. »</x:v>
      </x:c>
      <x:c r="M96" s="29" t="str">
        <x:v>1789; DDHC; Liberté; Égalité</x:v>
      </x:c>
    </x:row>
    <x:row r="97">
      <x:c r="A97" s="24" t="str">
        <x:v>MS-NAT-T3-004</x:v>
      </x:c>
      <x:c r="B97" s="25" t="str">
        <x:v>NAT-T3-004</x:v>
      </x:c>
      <x:c r="C97" s="25" t="str">
        <x:v>Droits et devoirs</x:v>
      </x:c>
      <x:c r="D97" s="25" t="str">
        <x:v>🔴 Difficile</x:v>
      </x:c>
      <x:c r="E97" s="28" t="str">
        <x:v>Une personne de votre entourage rencontre une situation concrète et veut agir dans le respect de la loi française. Une personne hésite et choisit « Chacun décide de ses propres règles ». Vous l’aidez à retrouver la règle ou le repère juste.</x:v>
      </x:c>
      <x:c r="F97" s="28" t="str">
        <x:v>Que signifie être libre, en France ?</x:v>
      </x:c>
      <x:c r="G97" s="28" t="str">
        <x:v>On peut faire tout ce que l'on veut.</x:v>
      </x:c>
      <x:c r="H97" s="28" t="str">
        <x:v>Les lois ne s'appliquent pas.</x:v>
      </x:c>
      <x:c r="I97" s="28" t="str">
        <x:v>Chacun décide de ses propres règles.</x:v>
      </x:c>
      <x:c r="J97" s="28" t="str">
        <x:v>Chacun est libre tant qu'il respecte les droits des autres.</x:v>
      </x:c>
      <x:c r="K97" s="32" t="str">
        <x:v>D</x:v>
      </x:c>
      <x:c r="L97" s="28" t="str">
        <x:v>La bonne réponse est « Chacun est libre tant qu'il respecte les droits des autres ». Les libertés sont garanties par la République, mais elles ne sont pas absolues. Elles s'exercent dans le respect des droits des autres et de la loi.</x:v>
      </x:c>
      <x:c r="M97" s="29" t="str">
        <x:v>Liberté; Respect; Autrui; 1789</x:v>
      </x:c>
    </x:row>
    <x:row r="98">
      <x:c r="A98" s="24" t="str">
        <x:v>MS-NAT-T3-005</x:v>
      </x:c>
      <x:c r="B98" s="25" t="str">
        <x:v>NAT-T3-005</x:v>
      </x:c>
      <x:c r="C98" s="25" t="str">
        <x:v>Droits et devoirs</x:v>
      </x:c>
      <x:c r="D98" s="25" t="str">
        <x:v>🔴 Difficile</x:v>
      </x:c>
      <x:c r="E98" s="28" t="str">
        <x:v>Dans une situation de la vie quotidienne, une personne souhaite vérifier quels droits et quels devoirs s’appliquent en France. Un participant propose la réponse « La France est une République fédérale et catholique ». Vous devez vérifier cette affirmation.</x:v>
      </x:c>
      <x:c r="F98" s="28" t="str">
        <x:v>Que dit l'article 1er de la Constitution à propos de la France ?</x:v>
      </x:c>
      <x:c r="G98" s="28" t="str">
        <x:v>La France est une République indivisible, laïque, démocratique et sociale.</x:v>
      </x:c>
      <x:c r="H98" s="28" t="str">
        <x:v>La France est une République fédérale et catholique.</x:v>
      </x:c>
      <x:c r="I98" s="28" t="str">
        <x:v>La France est un royaume démocratique.</x:v>
      </x:c>
      <x:c r="J98" s="28" t="str">
        <x:v>La France est une République uniquement laïque.</x:v>
      </x:c>
      <x:c r="K98" s="32" t="str">
        <x:v>A</x:v>
      </x:c>
      <x:c r="L98" s="28" t="str">
        <x:v>La bonne réponse est « La France est une République indivisible, laïque, démocratique et sociale ». L'article 1er de la Constitution définit les principes fondamentaux de la République française : « La France est une République indivisible, laïque, démocratique et sociale. » Cette formulation est à connaître par cœur pour l'examen.</x:v>
      </x:c>
      <x:c r="M98" s="29" t="str">
        <x:v>Constitution; Article 1; République</x:v>
      </x:c>
    </x:row>
    <x:row r="99">
      <x:c r="A99" s="24" t="str">
        <x:v>MS-NAT-T3-006</x:v>
      </x:c>
      <x:c r="B99" s="25" t="str">
        <x:v>NAT-T3-006</x:v>
      </x:c>
      <x:c r="C99" s="25" t="str">
        <x:v>Droits et devoirs</x:v>
      </x:c>
      <x:c r="D99" s="25" t="str">
        <x:v>🔴 Difficile</x:v>
      </x:c>
      <x:c r="E99" s="28" t="str">
        <x:v>Au travail ou dans l’espace public, un proche hésite sur une règle liée aux droits, aux libertés ou aux obligations. Un proche pense que la bonne réponse pourrait être « Les journalistes sont au-dessus des lois ». Aidez-le à raisonner.</x:v>
      </x:c>
      <x:c r="F99" s="28" t="str">
        <x:v>Que garantit la liberté de la presse ?</x:v>
      </x:c>
      <x:c r="G99" s="28" t="str">
        <x:v>On peut publier n'importe quoi.</x:v>
      </x:c>
      <x:c r="H99" s="28" t="str">
        <x:v>La liberté d'informer et d'être informé.</x:v>
      </x:c>
      <x:c r="I99" s="28" t="str">
        <x:v>Les journalistes sont au-dessus des lois.</x:v>
      </x:c>
      <x:c r="J99" s="28" t="str">
        <x:v>Les médias peuvent diffamer librement.</x:v>
      </x:c>
      <x:c r="K99" s="32" t="str">
        <x:v>B</x:v>
      </x:c>
      <x:c r="L99" s="28" t="str">
        <x:v>La bonne réponse est « La liberté d'informer et d'être informé ». La liberté de la presse permet aux médias d'informer le public tout en respectant les lois, notamment celles qui protègent les personnes contre la diffamation, l'injure ou la provocation à la haine.</x:v>
      </x:c>
      <x:c r="M99" s="29" t="str">
        <x:v>Presse; Information; Liberté; Journalistes</x:v>
      </x:c>
    </x:row>
    <x:row r="100">
      <x:c r="A100" s="24" t="str">
        <x:v>MS-NAT-T3-007</x:v>
      </x:c>
      <x:c r="B100" s="25" t="str">
        <x:v>NAT-T3-007</x:v>
      </x:c>
      <x:c r="C100" s="25" t="str">
        <x:v>Droits et devoirs</x:v>
      </x:c>
      <x:c r="D100" s="25" t="str">
        <x:v>🔴 Difficile</x:v>
      </x:c>
      <x:c r="E100" s="28" t="str">
        <x:v>Pendant un atelier d’accès aux droits, une personne vous demande de l’aider à identifier la règle applicable. Dans le groupe, la réponse « Voyager sans respecter les contrôles applicables » est avancée. Vous devez déterminer si elle est correcte.</x:v>
      </x:c>
      <x:c r="F100" s="28" t="str">
        <x:v>Que permet la liberté de circulation ?</x:v>
      </x:c>
      <x:c r="G100" s="28" t="str">
        <x:v>Entrer dans n'importe quel pays sans règle.</x:v>
      </x:c>
      <x:c r="H100" s="28" t="str">
        <x:v>Aller sur un terrain privé sans autorisation.</x:v>
      </x:c>
      <x:c r="I100" s="28" t="str">
        <x:v>Se déplacer librement, dans le respect de la loi.</x:v>
      </x:c>
      <x:c r="J100" s="28" t="str">
        <x:v>Voyager sans respecter les contrôles applicables.</x:v>
      </x:c>
      <x:c r="K100" s="32" t="str">
        <x:v>C</x:v>
      </x:c>
      <x:c r="L100" s="28" t="str">
        <x:v>La bonne réponse est « Se déplacer librement, dans le respect de la loi ». La liberté de circulation est une liberté fondamentale. Elle permet de se déplacer librement, sous réserve des règles prévues par la loi.</x:v>
      </x:c>
      <x:c r="M100" s="29" t="str">
        <x:v>Circulation; Liberté; Déplacement</x:v>
      </x:c>
    </x:row>
    <x:row r="101">
      <x:c r="A101" s="24" t="str">
        <x:v>MS-NAT-T3-008</x:v>
      </x:c>
      <x:c r="B101" s="25" t="str">
        <x:v>NAT-T3-008</x:v>
      </x:c>
      <x:c r="C101" s="25" t="str">
        <x:v>Droits et devoirs</x:v>
      </x:c>
      <x:c r="D101" s="25" t="str">
        <x:v>🔴 Difficile</x:v>
      </x:c>
      <x:c r="E101" s="28" t="str">
        <x:v>Une personne de votre entourage rencontre une situation concrète et veut agir dans le respect de la loi française. Une personne hésite et choisit « Habiter dans un pays ». Vous l’aidez à retrouver la règle ou le repère juste.</x:v>
      </x:c>
      <x:c r="F101" s="28" t="str">
        <x:v>Qu'implique le fait d'être citoyen d'un État ?</x:v>
      </x:c>
      <x:c r="G101" s="28" t="str">
        <x:v>Habiter dans un pays.</x:v>
      </x:c>
      <x:c r="H101" s="28" t="str">
        <x:v>Avoir uniquement des droits.</x:v>
      </x:c>
      <x:c r="I101" s="28" t="str">
        <x:v>Être né dans un pays.</x:v>
      </x:c>
      <x:c r="J101" s="28" t="str">
        <x:v>Avoir des droits et des devoirs dans cet État.</x:v>
      </x:c>
      <x:c r="K101" s="32" t="str">
        <x:v>D</x:v>
      </x:c>
      <x:c r="L101" s="28" t="str">
        <x:v>La bonne réponse est « Avoir des droits et des devoirs dans cet État ». Être citoyen signifie bénéficier de droits (vote, libertés...) mais aussi respecter des devoirs (respect des lois, solidarité, participation à la vie démocratique...).</x:v>
      </x:c>
      <x:c r="M101" s="29" t="str">
        <x:v>Citoyen; Droits; Devoirs</x:v>
      </x:c>
    </x:row>
    <x:row r="102">
      <x:c r="A102" s="24" t="str">
        <x:v>MS-NAT-T3-009</x:v>
      </x:c>
      <x:c r="B102" s="25" t="str">
        <x:v>NAT-T3-009</x:v>
      </x:c>
      <x:c r="C102" s="25" t="str">
        <x:v>Droits et devoirs</x:v>
      </x:c>
      <x:c r="D102" s="25" t="str">
        <x:v>🔴 Difficile</x:v>
      </x:c>
      <x:c r="E102" s="28" t="str">
        <x:v>Dans une situation de la vie quotidienne, une personne souhaite vérifier quels droits et quels devoirs s’appliquent en France. Un participant propose la réponse « Les droits réservés aux élus ». Vous devez vérifier cette affirmation.</x:v>
      </x:c>
      <x:c r="F102" s="28" t="str">
        <x:v>Qu'est-ce que les droits fondamentaux ?</x:v>
      </x:c>
      <x:c r="G102" s="28" t="str">
        <x:v>Les droits essentiels garantis à toute personne.</x:v>
      </x:c>
      <x:c r="H102" s="28" t="str">
        <x:v>Les règles du Code de la route.</x:v>
      </x:c>
      <x:c r="I102" s="28" t="str">
        <x:v>Les droits réservés aux élus.</x:v>
      </x:c>
      <x:c r="J102" s="28" t="str">
        <x:v>Les droits des entreprises.</x:v>
      </x:c>
      <x:c r="K102" s="32" t="str">
        <x:v>A</x:v>
      </x:c>
      <x:c r="L102" s="28" t="str">
        <x:v>La bonne réponse est « Les droits essentiels garantis à toute personne ». Les droits fondamentaux sont les droits et libertés indispensables reconnus à toute personne. Ils sont protégés par la Constitution, les lois françaises et les textes internationaux.</x:v>
      </x:c>
      <x:c r="M102" s="29" t="str">
        <x:v>Droits fondamentaux; Libertés; Constitution</x:v>
      </x:c>
    </x:row>
    <x:row r="103">
      <x:c r="A103" s="24" t="str">
        <x:v>MS-NAT-T3-010</x:v>
      </x:c>
      <x:c r="B103" s="25" t="str">
        <x:v>NAT-T3-010</x:v>
      </x:c>
      <x:c r="C103" s="25" t="str">
        <x:v>Droits et devoirs</x:v>
      </x:c>
      <x:c r="D103" s="25" t="str">
        <x:v>🔴 Difficile</x:v>
      </x:c>
      <x:c r="E103" s="28" t="str">
        <x:v>Au travail ou dans l’espace public, un proche hésite sur une règle liée aux droits, aux libertés ou aux obligations. Un proche pense que la bonne réponse pourrait être « Le droit de vote ». Aidez-le à raisonner.</x:v>
      </x:c>
      <x:c r="F103" s="28" t="str">
        <x:v>Quel droit protège une personne contre les arrestations ou détentions arbitraires ?</x:v>
      </x:c>
      <x:c r="G103" s="28" t="str">
        <x:v>La liberté de la presse.</x:v>
      </x:c>
      <x:c r="H103" s="28" t="str">
        <x:v>Le droit à la liberté individuelle.</x:v>
      </x:c>
      <x:c r="I103" s="28" t="str">
        <x:v>La liberté d'association.</x:v>
      </x:c>
      <x:c r="J103" s="28" t="str">
        <x:v>Le droit de vote.</x:v>
      </x:c>
      <x:c r="K103" s="32" t="str">
        <x:v>B</x:v>
      </x:c>
      <x:c r="L103" s="28" t="str">
        <x:v>La bonne réponse est « Le droit à la liberté individuelle ». La liberté individuelle est un droit fondamental. Personne ne peut être arrêté ou détenu de manière arbitraire : toute privation de liberté doit respecter la loi.</x:v>
      </x:c>
      <x:c r="M103" s="29" t="str">
        <x:v>Liberté individuelle; Arrestation; Justice</x:v>
      </x:c>
    </x:row>
    <x:row r="104">
      <x:c r="A104" s="24" t="str">
        <x:v>MS-NAT-T3-011</x:v>
      </x:c>
      <x:c r="B104" s="25" t="str">
        <x:v>NAT-T3-011</x:v>
      </x:c>
      <x:c r="C104" s="25" t="str">
        <x:v>Droits et devoirs</x:v>
      </x:c>
      <x:c r="D104" s="25" t="str">
        <x:v>🟡 Intermédiaire</x:v>
      </x:c>
      <x:c r="E104" s="28" t="str">
        <x:v>Pendant un atelier d’accès aux droits, une personne vous demande de l’aider à identifier la règle applicable. Dans le groupe, la réponse « La Constitution » est avancée. Vous devez déterminer si elle est correcte.</x:v>
      </x:c>
      <x:c r="F104" s="28" t="str">
        <x:v>Comment s'appelle le texte adopté en 1789 qui affirme les droits fondamentaux des citoyens ?</x:v>
      </x:c>
      <x:c r="G104" s="28" t="str">
        <x:v>La Constitution.</x:v>
      </x:c>
      <x:c r="H104" s="28" t="str">
        <x:v>Le Code civil.</x:v>
      </x:c>
      <x:c r="I104" s="28" t="str">
        <x:v>La Déclaration des droits de l'Homme et du Citoyen de 1789.</x:v>
      </x:c>
      <x:c r="J104" s="28" t="str">
        <x:v>La Charte de l'environnement.</x:v>
      </x:c>
      <x:c r="K104" s="32" t="str">
        <x:v>C</x:v>
      </x:c>
      <x:c r="L104" s="28" t="str">
        <x:v>La bonne réponse est « La Déclaration des droits de l'Homme et du Citoyen de 1789 ». Adoptée en 1789 pendant la Révolution française, la Déclaration des droits de l'Homme et du Citoyen affirme les droits fondamentaux et inspire encore aujourd'hui le droit français.</x:v>
      </x:c>
      <x:c r="M104" s="29" t="str">
        <x:v>1789; DDHC; Droits; Citoyen</x:v>
      </x:c>
    </x:row>
    <x:row r="105">
      <x:c r="A105" s="24" t="str">
        <x:v>MS-NAT-T3-012</x:v>
      </x:c>
      <x:c r="B105" s="25" t="str">
        <x:v>NAT-T3-012</x:v>
      </x:c>
      <x:c r="C105" s="25" t="str">
        <x:v>Droits et devoirs</x:v>
      </x:c>
      <x:c r="D105" s="25" t="str">
        <x:v>🟡 Intermédiaire</x:v>
      </x:c>
      <x:c r="E105" s="28" t="str">
        <x:v>Une personne de votre entourage rencontre une situation concrète et veut agir dans le respect de la loi française. Une personne hésite et choisit « Le Code pénal ». Vous l’aidez à retrouver la règle ou le repère juste.</x:v>
      </x:c>
      <x:c r="F105" s="28" t="str">
        <x:v>Dans quel texte trouve-t-on la phrase « Les hommes naissent et demeurent libres et égaux en droits » ?</x:v>
      </x:c>
      <x:c r="G105" s="28" t="str">
        <x:v>La Constitution.</x:v>
      </x:c>
      <x:c r="H105" s="28" t="str">
        <x:v>Le Code pénal.</x:v>
      </x:c>
      <x:c r="I105" s="28" t="str">
        <x:v>La Convention européenne des droits de l'homme.</x:v>
      </x:c>
      <x:c r="J105" s="28" t="str">
        <x:v>La Déclaration des droits de l'Homme et du Citoyen de 1789.</x:v>
      </x:c>
      <x:c r="K105" s="32" t="str">
        <x:v>D</x:v>
      </x:c>
      <x:c r="L105" s="28" t="str">
        <x:v>La bonne réponse est « La Déclaration des droits de l'Homme et du Citoyen de 1789 ». L'article premier de la Déclaration de 1789 affirme cette phrase, l'un des fondements des valeurs républicaines françaises.</x:v>
      </x:c>
      <x:c r="M105" s="29" t="str">
        <x:v>1789; Liberté; Égalité; DDHC</x:v>
      </x:c>
    </x:row>
    <x:row r="106">
      <x:c r="A106" s="24" t="str">
        <x:v>MS-NAT-T3-013</x:v>
      </x:c>
      <x:c r="B106" s="25" t="str">
        <x:v>NAT-T3-013</x:v>
      </x:c>
      <x:c r="C106" s="25" t="str">
        <x:v>Droits et devoirs</x:v>
      </x:c>
      <x:c r="D106" s="25" t="str">
        <x:v>🟡 Intermédiaire</x:v>
      </x:c>
      <x:c r="E106" s="28" t="str">
        <x:v>Dans une situation de la vie quotidienne, une personne souhaite vérifier quels droits et quels devoirs s’appliquent en France. Un participant propose la réponse « Une contravention ». Vous devez vérifier cette affirmation.</x:v>
      </x:c>
      <x:c r="F106" s="28" t="str">
        <x:v>Lequel de ces actes porte gravement atteinte à la dignité humaine ?</x:v>
      </x:c>
      <x:c r="G106" s="28" t="str">
        <x:v>La torture ou l'esclavage.</x:v>
      </x:c>
      <x:c r="H106" s="28" t="str">
        <x:v>Une critique.</x:v>
      </x:c>
      <x:c r="I106" s="28" t="str">
        <x:v>Une amende.</x:v>
      </x:c>
      <x:c r="J106" s="28" t="str">
        <x:v>Une contravention.</x:v>
      </x:c>
      <x:c r="K106" s="32" t="str">
        <x:v>A</x:v>
      </x:c>
      <x:c r="L106" s="28" t="str">
        <x:v>La bonne réponse est « La torture ou l'esclavage ». La dignité humaine signifie que chaque personne doit être respectée. Les traitements inhumains, la torture ou l'esclavage sont interdits car ils portent atteinte à cette dignité.</x:v>
      </x:c>
      <x:c r="M106" s="29" t="str">
        <x:v>Dignité; Esclavage; Torture; Respect</x:v>
      </x:c>
    </x:row>
    <x:row r="107">
      <x:c r="A107" s="24" t="str">
        <x:v>MS-NAT-T3-014</x:v>
      </x:c>
      <x:c r="B107" s="25" t="str">
        <x:v>NAT-T3-014</x:v>
      </x:c>
      <x:c r="C107" s="25" t="str">
        <x:v>Droits et devoirs</x:v>
      </x:c>
      <x:c r="D107" s="25" t="str">
        <x:v>🟡 Intermédiaire</x:v>
      </x:c>
      <x:c r="E107" s="28" t="str">
        <x:v>Au travail ou dans l’espace public, un proche hésite sur une règle liée aux droits, aux libertés ou aux obligations. Un proche pense que la bonne réponse pourrait être « Dire n'importe quoi ». Aidez-le à raisonner.</x:v>
      </x:c>
      <x:c r="F107" s="28" t="str">
        <x:v>Que garantit la liberté d'expression ?</x:v>
      </x:c>
      <x:c r="G107" s="28" t="str">
        <x:v>Dire n'importe quoi.</x:v>
      </x:c>
      <x:c r="H107" s="28" t="str">
        <x:v>Le droit d'exprimer librement ses opinions dans le respect de la loi et des droits d'autrui.</x:v>
      </x:c>
      <x:c r="I107" s="28" t="str">
        <x:v>Insulter librement.</x:v>
      </x:c>
      <x:c r="J107" s="28" t="str">
        <x:v>Diffuser de fausses informations sans limite.</x:v>
      </x:c>
      <x:c r="K107" s="32" t="str">
        <x:v>B</x:v>
      </x:c>
      <x:c r="L107" s="28" t="str">
        <x:v>La bonne réponse est « Le droit d'exprimer librement ses opinions dans le respect de la loi et des droits d'autrui ». La liberté d'expression est un droit fondamental. Elle permet d'exprimer ses idées, mais elle connaît des limites prévues par la loi, notamment pour protéger les personnes contre l'injure, la diffamation ou l'incitation à la haine.</x:v>
      </x:c>
      <x:c r="M107" s="29" t="str">
        <x:v>Expression; Opinion; Liberté</x:v>
      </x:c>
    </x:row>
    <x:row r="108">
      <x:c r="A108" s="24" t="str">
        <x:v>MS-NAT-T3-015</x:v>
      </x:c>
      <x:c r="B108" s="25" t="str">
        <x:v>NAT-T3-015</x:v>
      </x:c>
      <x:c r="C108" s="25" t="str">
        <x:v>Droits et devoirs</x:v>
      </x:c>
      <x:c r="D108" s="25" t="str">
        <x:v>🔴 Difficile</x:v>
      </x:c>
      <x:c r="E108" s="28" t="str">
        <x:v>Pendant un atelier d’accès aux droits, une personne vous demande de l’aider à identifier la règle applicable. Dans le groupe, la réponse « Confisquer définitivement ses biens » est avancée. Vous devez déterminer si elle est correcte.</x:v>
      </x:c>
      <x:c r="F108" s="28" t="str">
        <x:v>Après une interpellation, que peut décider la police dans les conditions prévues par la loi ?</x:v>
      </x:c>
      <x:c r="G108" s="28" t="str">
        <x:v>Condamner directement la personne.</x:v>
      </x:c>
      <x:c r="H108" s="28" t="str">
        <x:v>Confisquer définitivement ses biens.</x:v>
      </x:c>
      <x:c r="I108" s="28" t="str">
        <x:v>Placer la personne en garde à vue.</x:v>
      </x:c>
      <x:c r="J108" s="28" t="str">
        <x:v>Informer la presse de son identité.</x:v>
      </x:c>
      <x:c r="K108" s="32" t="str">
        <x:v>C</x:v>
      </x:c>
      <x:c r="L108" s="28" t="str">
        <x:v>La bonne réponse est « Placer la personne en garde à vue ». Après une interpellation, une personne peut être placée en garde à vue si les conditions prévues par la loi sont réunies. Cette mesure est strictement encadrée et la personne bénéficie de droits (avocat, médecin, information de ses proches, etc.).</x:v>
      </x:c>
      <x:c r="M108" s="29" t="str">
        <x:v>Police; Garde à vue; Justice; État de droit</x:v>
      </x:c>
    </x:row>
    <x:row r="109">
      <x:c r="A109" s="24" t="str">
        <x:v>MS-NAT-T3-016</x:v>
      </x:c>
      <x:c r="B109" s="25" t="str">
        <x:v>NAT-T3-016</x:v>
      </x:c>
      <x:c r="C109" s="25" t="str">
        <x:v>Droits et devoirs</x:v>
      </x:c>
      <x:c r="D109" s="25" t="str">
        <x:v>🟢 Facile</x:v>
      </x:c>
      <x:c r="E109" s="28" t="str">
        <x:v>Une personne de votre entourage rencontre une situation concrète et veut agir dans le respect de la loi française. Une personne hésite et choisit « Tous doivent avoir une religion ». Vous l’aidez à retrouver la règle ou le repère juste.</x:v>
      </x:c>
      <x:c r="F109" s="28" t="str">
        <x:v>Tous les citoyens français ont-ils obligatoirement la même religion ?</x:v>
      </x:c>
      <x:c r="G109" s="28" t="str">
        <x:v>Oui.</x:v>
      </x:c>
      <x:c r="H109" s="28" t="str">
        <x:v>Tous sont catholiques.</x:v>
      </x:c>
      <x:c r="I109" s="28" t="str">
        <x:v>Tous doivent avoir une religion.</x:v>
      </x:c>
      <x:c r="J109" s="28" t="str">
        <x:v>Non, chacun est libre de croire ou de ne pas croire.</x:v>
      </x:c>
      <x:c r="K109" s="32" t="str">
        <x:v>D</x:v>
      </x:c>
      <x:c r="L109" s="28" t="str">
        <x:v>La bonne réponse est « Non, chacun est libre de croire ou de ne pas croire ». La République garantit la liberté de conscience. Chacun est libre de pratiquer une religion, d'en changer ou de ne pas croire.</x:v>
      </x:c>
      <x:c r="M109" s="29" t="str">
        <x:v>Religion; Liberté de conscience; Laïcité</x:v>
      </x:c>
    </x:row>
    <x:row r="110">
      <x:c r="A110" s="24" t="str">
        <x:v>MS-NAT-T3-017</x:v>
      </x:c>
      <x:c r="B110" s="25" t="str">
        <x:v>NAT-T3-017</x:v>
      </x:c>
      <x:c r="C110" s="25" t="str">
        <x:v>Droits et devoirs</x:v>
      </x:c>
      <x:c r="D110" s="25" t="str">
        <x:v>🟢 Facile</x:v>
      </x:c>
      <x:c r="E110" s="28" t="str">
        <x:v>Dans une situation de la vie quotidienne, une personne souhaite vérifier quels droits et quels devoirs s’appliquent en France. Un participant propose la réponse « 13 ans ». Vous devez vérifier cette affirmation.</x:v>
      </x:c>
      <x:c r="F110" s="28" t="str">
        <x:v>À partir de quel âge un mineur peut-il, en principe, s'inscrire seul sur un service en ligne utilisant ses données personnelles ?</x:v>
      </x:c>
      <x:c r="G110" s="28" t="str">
        <x:v>15 ans.</x:v>
      </x:c>
      <x:c r="H110" s="28" t="str">
        <x:v>13 ans.</x:v>
      </x:c>
      <x:c r="I110" s="28" t="str">
        <x:v>16 ans.</x:v>
      </x:c>
      <x:c r="J110" s="28" t="str">
        <x:v>18 ans.</x:v>
      </x:c>
      <x:c r="K110" s="32" t="str">
        <x:v>A</x:v>
      </x:c>
      <x:c r="L110" s="28" t="str">
        <x:v>La bonne réponse est « 15 ans ». En France, la majorité numérique est fixée à 15 ans. Avant cet âge, l'accord des parents est généralement nécessaire pour l'inscription à certains services en ligne utilisant les données personnelles.</x:v>
      </x:c>
      <x:c r="M110" s="29" t="str">
        <x:v>Majorité numérique; 15 ans; Internet</x:v>
      </x:c>
    </x:row>
    <x:row r="111">
      <x:c r="A111" s="24" t="str">
        <x:v>MS-NAT-T3-018</x:v>
      </x:c>
      <x:c r="B111" s="25" t="str">
        <x:v>NAT-T3-018</x:v>
      </x:c>
      <x:c r="C111" s="25" t="str">
        <x:v>Droits et devoirs</x:v>
      </x:c>
      <x:c r="D111" s="25" t="str">
        <x:v>🟢 Facile</x:v>
      </x:c>
      <x:c r="E111" s="28" t="str">
        <x:v>Au travail ou dans l’espace public, un proche hésite sur une règle liée aux droits, aux libertés ou aux obligations. Un proche pense que la bonne réponse pourrait être « Dans un train ». Aidez-le à raisonner.</x:v>
      </x:c>
      <x:c r="F111" s="28" t="str">
        <x:v>Où est-il autorisé de fumer, alors que c'est interdit dans de nombreux lieux publics fermés ?</x:v>
      </x:c>
      <x:c r="G111" s="28" t="str">
        <x:v>Dans un restaurant.</x:v>
      </x:c>
      <x:c r="H111" s="28" t="str">
        <x:v>Chez soi.</x:v>
      </x:c>
      <x:c r="I111" s="28" t="str">
        <x:v>Dans un train.</x:v>
      </x:c>
      <x:c r="J111" s="28" t="str">
        <x:v>Dans un bureau partagé.</x:v>
      </x:c>
      <x:c r="K111" s="32" t="str">
        <x:v>B</x:v>
      </x:c>
      <x:c r="L111" s="28" t="str">
        <x:v>La bonne réponse est « Chez soi ». En France, il est interdit de fumer dans de nombreux lieux publics fermés afin de protéger la santé de tous. En revanche, il est autorisé de fumer à son domicile.</x:v>
      </x:c>
      <x:c r="M111" s="29" t="str">
        <x:v>Tabac; Santé publique; Interdiction</x:v>
      </x:c>
    </x:row>
    <x:row r="112">
      <x:c r="A112" s="24" t="str">
        <x:v>MS-NAT-T3-019</x:v>
      </x:c>
      <x:c r="B112" s="25" t="str">
        <x:v>NAT-T3-019</x:v>
      </x:c>
      <x:c r="C112" s="25" t="str">
        <x:v>Droits et devoirs</x:v>
      </x:c>
      <x:c r="D112" s="25" t="str">
        <x:v>🟡 Intermédiaire</x:v>
      </x:c>
      <x:c r="E112" s="28" t="str">
        <x:v>Pendant un atelier d’accès aux droits, une personne vous demande de l’aider à identifier la règle applicable. Dans le groupe, la réponse « Une pratique tolérée pour les petites cylindrées » est avancée. Vous devez déterminer si elle est correcte.</x:v>
      </x:c>
      <x:c r="F112" s="28" t="str">
        <x:v>Conduire un véhicule sans le permis correspondant constitue :</x:v>
      </x:c>
      <x:c r="G112" s="28" t="str">
        <x:v>Une simple erreur sans conséquence.</x:v>
      </x:c>
      <x:c r="H112" s="28" t="str">
        <x:v>Une contravention mineure.</x:v>
      </x:c>
      <x:c r="I112" s="28" t="str">
        <x:v>Un délit puni par la loi.</x:v>
      </x:c>
      <x:c r="J112" s="28" t="str">
        <x:v>Une pratique tolérée pour les petites cylindrées.</x:v>
      </x:c>
      <x:c r="K112" s="32" t="str">
        <x:v>C</x:v>
      </x:c>
      <x:c r="L112" s="28" t="str">
        <x:v>La bonne réponse est « Un délit puni par la loi ». Conduire un véhicule sans le permis correspondant est un délit grave, passible d'emprisonnement et de forte amende (sauf certaines petites cylindrées avec le permis B + formation).</x:v>
      </x:c>
      <x:c r="M112" s="29" t="str">
        <x:v>Moto; Permis; Sécurité routière</x:v>
      </x:c>
    </x:row>
    <x:row r="113">
      <x:c r="A113" s="24" t="str">
        <x:v>MS-NAT-T3-020</x:v>
      </x:c>
      <x:c r="B113" s="25" t="str">
        <x:v>NAT-T3-020</x:v>
      </x:c>
      <x:c r="C113" s="25" t="str">
        <x:v>Droits et devoirs</x:v>
      </x:c>
      <x:c r="D113" s="25" t="str">
        <x:v>🟡 Intermédiaire</x:v>
      </x:c>
      <x:c r="E113" s="28" t="str">
        <x:v>Une personne de votre entourage rencontre une situation concrète et veut agir dans le respect de la loi française. Une personne hésite et choisit « Aider uniquement sa famille ». Vous l’aidez à retrouver la règle ou le repère juste.</x:v>
      </x:c>
      <x:c r="F113" s="28" t="str">
        <x:v>En quoi consiste le devoir de solidarité du citoyen ?</x:v>
      </x:c>
      <x:c r="G113" s="28" t="str">
        <x:v>Aider uniquement sa famille.</x:v>
      </x:c>
      <x:c r="H113" s="28" t="str">
        <x:v>Donner obligatoirement de l'argent.</x:v>
      </x:c>
      <x:c r="I113" s="28" t="str">
        <x:v>Être bénévole dans une association uniquement.</x:v>
      </x:c>
      <x:c r="J113" s="28" t="str">
        <x:v>Aider les personnes en difficulté et contribuer à la solidarité nationale.</x:v>
      </x:c>
      <x:c r="K113" s="32" t="str">
        <x:v>D</x:v>
      </x:c>
      <x:c r="L113" s="28" t="str">
        <x:v>La bonne réponse est « Aider les personnes en difficulté et contribuer à la solidarité nationale ». La solidarité est une valeur importante de la République. Elle se traduit par l'entraide entre les personnes et par la participation de chacun au financement des services publics et de la protection sociale.</x:v>
      </x:c>
      <x:c r="M113" s="29" t="str">
        <x:v>Solidarité; Entraide; Citoyenneté</x:v>
      </x:c>
    </x:row>
    <x:row r="114">
      <x:c r="A114" s="24" t="str">
        <x:v>MS-NAT-T3-021</x:v>
      </x:c>
      <x:c r="B114" s="25" t="str">
        <x:v>NAT-T3-021</x:v>
      </x:c>
      <x:c r="C114" s="25" t="str">
        <x:v>Droits et devoirs</x:v>
      </x:c>
      <x:c r="D114" s="25" t="str">
        <x:v>🟢 Facile</x:v>
      </x:c>
      <x:c r="E114" s="28" t="str">
        <x:v>Dans une situation de la vie quotidienne, une personne souhaite vérifier quels droits et quels devoirs s’appliquent en France. Un participant propose la réponse « Oui, selon sa religion ». Vous devez vérifier cette affirmation.</x:v>
      </x:c>
      <x:c r="F114" s="28" t="str">
        <x:v>Une personne peut-elle être mariée à plusieurs personnes en même temps en France ?</x:v>
      </x:c>
      <x:c r="G114" s="28" t="str">
        <x:v>Non, la polygamie est interdite.</x:v>
      </x:c>
      <x:c r="H114" s="28" t="str">
        <x:v>Oui.</x:v>
      </x:c>
      <x:c r="I114" s="28" t="str">
        <x:v>Oui, selon sa religion.</x:v>
      </x:c>
      <x:c r="J114" s="28" t="str">
        <x:v>Oui, avec l'accord des époux.</x:v>
      </x:c>
      <x:c r="K114" s="32" t="str">
        <x:v>A</x:v>
      </x:c>
      <x:c r="L114" s="28" t="str">
        <x:v>La bonne réponse est « Non, la polygamie est interdite ». En France, la polygamie est interdite. Une personne ne peut être mariée qu'à une seule autre personne à la fois.</x:v>
      </x:c>
      <x:c r="M114" s="29" t="str">
        <x:v>Mariage; Polygamie; Loi</x:v>
      </x:c>
    </x:row>
    <x:row r="115">
      <x:c r="A115" s="24" t="str">
        <x:v>MS-NAT-T3-022</x:v>
      </x:c>
      <x:c r="B115" s="25" t="str">
        <x:v>NAT-T3-022</x:v>
      </x:c>
      <x:c r="C115" s="25" t="str">
        <x:v>Droits et devoirs</x:v>
      </x:c>
      <x:c r="D115" s="25" t="str">
        <x:v>🟢 Facile</x:v>
      </x:c>
      <x:c r="E115" s="28" t="str">
        <x:v>Au travail ou dans l’espace public, un proche hésite sur une règle liée aux droits, aux libertés ou aux obligations. Un proche pense que la bonne réponse pourrait être « Seulement les salariés ». Aidez-le à raisonner.</x:v>
      </x:c>
      <x:c r="F115" s="28" t="str">
        <x:v>Doit-on déclarer ses revenus chaque année aux services fiscaux ?</x:v>
      </x:c>
      <x:c r="G115" s="28" t="str">
        <x:v>Non.</x:v>
      </x:c>
      <x:c r="H115" s="28" t="str">
        <x:v>Oui, c'est une obligation.</x:v>
      </x:c>
      <x:c r="I115" s="28" t="str">
        <x:v>Seulement si l'on paie des impôts.</x:v>
      </x:c>
      <x:c r="J115" s="28" t="str">
        <x:v>Seulement les salariés.</x:v>
      </x:c>
      <x:c r="K115" s="32" t="str">
        <x:v>B</x:v>
      </x:c>
      <x:c r="L115" s="28" t="str">
        <x:v>La bonne réponse est « Oui, c'est une obligation ». Toute personne concernée doit déclarer ses revenus chaque année. Cette déclaration permet à l'administration fiscale de calculer correctement l'impôt dû ou de constater qu'aucun impôt n'est à payer.</x:v>
      </x:c>
      <x:c r="M115" s="29" t="str">
        <x:v>Impôts; Déclaration; Revenus</x:v>
      </x:c>
    </x:row>
    <x:row r="116">
      <x:c r="A116" s="24" t="str">
        <x:v>MS-NAT-T3-023</x:v>
      </x:c>
      <x:c r="B116" s="25" t="str">
        <x:v>NAT-T3-023</x:v>
      </x:c>
      <x:c r="C116" s="25" t="str">
        <x:v>Droits et devoirs</x:v>
      </x:c>
      <x:c r="D116" s="25" t="str">
        <x:v>🟡 Intermédiaire</x:v>
      </x:c>
      <x:c r="E116" s="28" t="str">
        <x:v>Pendant un atelier d’accès aux droits, une personne vous demande de l’aider à identifier la règle applicable. Dans le groupe, la réponse « Non » est avancée. Vous devez déterminer si elle est correcte.</x:v>
      </x:c>
      <x:c r="F116" s="28" t="str">
        <x:v>A-t-on l'obligation de porter assistance à une personne en danger ?</x:v>
      </x:c>
      <x:c r="G116" s="28" t="str">
        <x:v>Non.</x:v>
      </x:c>
      <x:c r="H116" s="28" t="str">
        <x:v>Seulement les médecins.</x:v>
      </x:c>
      <x:c r="I116" s="28" t="str">
        <x:v>Oui, dans la mesure où cela ne met pas sa propre vie en danger.</x:v>
      </x:c>
      <x:c r="J116" s="28" t="str">
        <x:v>Seulement les policiers.</x:v>
      </x:c>
      <x:c r="K116" s="32" t="str">
        <x:v>C</x:v>
      </x:c>
      <x:c r="L116" s="28" t="str">
        <x:v>La bonne réponse est « Oui, dans la mesure où cela ne met pas sa propre vie en danger ». La loi sanctionne la non-assistance à personne en danger. Porter secours peut consister à intervenir directement si cela est possible ou à prévenir les services de secours.</x:v>
      </x:c>
      <x:c r="M116" s="29" t="str">
        <x:v>Assistance; Danger; Secours; Solidarité</x:v>
      </x:c>
    </x:row>
    <x:row r="117">
      <x:c r="A117" s="24" t="str">
        <x:v>MS-NAT-T3-024</x:v>
      </x:c>
      <x:c r="B117" s="25" t="str">
        <x:v>NAT-T3-024</x:v>
      </x:c>
      <x:c r="C117" s="25" t="str">
        <x:v>Droits et devoirs</x:v>
      </x:c>
      <x:c r="D117" s="25" t="str">
        <x:v>🟡 Intermédiaire</x:v>
      </x:c>
      <x:c r="E117" s="28" t="str">
        <x:v>Une personne de votre entourage rencontre une situation concrète et veut agir dans le respect de la loi française. Une personne hésite et choisit « Un métier rémunéré ». Vous l’aidez à retrouver la règle ou le repère juste.</x:v>
      </x:c>
      <x:c r="F117" s="28" t="str">
        <x:v>Pour un citoyen tiré au sort, être juré à la cour d'assises est :</x:v>
      </x:c>
      <x:c r="G117" s="28" t="str">
        <x:v>Une activité facultative.</x:v>
      </x:c>
      <x:c r="H117" s="28" t="str">
        <x:v>Un métier rémunéré.</x:v>
      </x:c>
      <x:c r="I117" s="28" t="str">
        <x:v>Une mission réservée aux avocats.</x:v>
      </x:c>
      <x:c r="J117" s="28" t="str">
        <x:v>Un devoir civique obligatoire.</x:v>
      </x:c>
      <x:c r="K117" s="32" t="str">
        <x:v>D</x:v>
      </x:c>
      <x:c r="L117" s="28" t="str">
        <x:v>La bonne réponse est « Un devoir civique obligatoire ». Les citoyens tirés au sort pour être jurés d'assises doivent accomplir cette mission et ne peuvent la refuser (sauf motif validé par la commission). Il s'agit d'une participation à la justice rendue au nom du peuple français.</x:v>
      </x:c>
      <x:c r="M117" s="29" t="str">
        <x:v>Juré; Cour d'assises; Justice</x:v>
      </x:c>
    </x:row>
    <x:row r="118">
      <x:c r="A118" s="24" t="str">
        <x:v>MS-NAT-T3-025</x:v>
      </x:c>
      <x:c r="B118" s="25" t="str">
        <x:v>NAT-T3-025</x:v>
      </x:c>
      <x:c r="C118" s="25" t="str">
        <x:v>Droits et devoirs</x:v>
      </x:c>
      <x:c r="D118" s="25" t="str">
        <x:v>🟡 Intermédiaire</x:v>
      </x:c>
      <x:c r="E118" s="28" t="str">
        <x:v>Dans une situation de la vie quotidienne, une personne souhaite vérifier quels droits et quels devoirs s’appliquent en France. Un participant propose la réponse « 21 ans ». Vous devez vérifier cette affirmation.</x:v>
      </x:c>
      <x:c r="F118" s="28" t="str">
        <x:v>À partir de quel âge la vente de boissons alcoolisées est-elle autorisée en France ?</x:v>
      </x:c>
      <x:c r="G118" s="28" t="str">
        <x:v>18 ans.</x:v>
      </x:c>
      <x:c r="H118" s="28" t="str">
        <x:v>16 ans.</x:v>
      </x:c>
      <x:c r="I118" s="28" t="str">
        <x:v>17 ans.</x:v>
      </x:c>
      <x:c r="J118" s="28" t="str">
        <x:v>21 ans.</x:v>
      </x:c>
      <x:c r="K118" s="32" t="str">
        <x:v>A</x:v>
      </x:c>
      <x:c r="L118" s="28" t="str">
        <x:v>La bonne réponse est « 18 ans ». En France, la vente de boissons alcoolisées est interdite aux mineurs de moins de 18 ans, afin de protéger leur santé.</x:v>
      </x:c>
      <x:c r="M118" s="29" t="str">
        <x:v>Alcool; Mineurs; 18 ans</x:v>
      </x:c>
    </x:row>
    <x:row r="119">
      <x:c r="A119" s="24" t="str">
        <x:v>MS-NAT-T3-026</x:v>
      </x:c>
      <x:c r="B119" s="25" t="str">
        <x:v>NAT-T3-026</x:v>
      </x:c>
      <x:c r="C119" s="25" t="str">
        <x:v>Droits et devoirs</x:v>
      </x:c>
      <x:c r="D119" s="25" t="str">
        <x:v>🟡 Intermédiaire</x:v>
      </x:c>
      <x:c r="E119" s="28" t="str">
        <x:v>Au travail ou dans l’espace public, un proche hésite sur une règle liée aux droits, aux libertés ou aux obligations. Un proche pense que la bonne réponse pourrait être « Une simple recommandation ignorée ». Aidez-le à raisonner.</x:v>
      </x:c>
      <x:c r="F119" s="28" t="str">
        <x:v>Ne pas respecter le Code de la route constitue :</x:v>
      </x:c>
      <x:c r="G119" s="28" t="str">
        <x:v>Une simple recommandation ignorée.</x:v>
      </x:c>
      <x:c r="H119" s="28" t="str">
        <x:v>Une infraction punie par la loi.</x:v>
      </x:c>
      <x:c r="I119" s="28" t="str">
        <x:v>Un choix personnel sans conséquence.</x:v>
      </x:c>
      <x:c r="J119" s="28" t="str">
        <x:v>Une pratique tolérée en dehors des villes.</x:v>
      </x:c>
      <x:c r="K119" s="32" t="str">
        <x:v>B</x:v>
      </x:c>
      <x:c r="L119" s="28" t="str">
        <x:v>La bonne réponse est « Une infraction punie par la loi ». Le Code de la route est un ensemble de règlements et de lois. Son non-respect constitue une infraction pouvant entraîner une amende, un retrait de points, une suspension du permis ou d'autres sanctions selon la gravité.</x:v>
      </x:c>
      <x:c r="M119" s="29" t="str">
        <x:v>Code de la route; Infraction; Sécurité routière</x:v>
      </x:c>
    </x:row>
    <x:row r="120">
      <x:c r="A120" s="24" t="str">
        <x:v>MS-NAT-T3-027</x:v>
      </x:c>
      <x:c r="B120" s="25" t="str">
        <x:v>NAT-T3-027</x:v>
      </x:c>
      <x:c r="C120" s="25" t="str">
        <x:v>Droits et devoirs</x:v>
      </x:c>
      <x:c r="D120" s="25" t="str">
        <x:v>🟡 Intermédiaire</x:v>
      </x:c>
      <x:c r="E120" s="28" t="str">
        <x:v>Pendant un atelier d’accès aux droits, une personne vous demande de l’aider à identifier la règle applicable. Dans le groupe, la réponse « Une contravention de stationnement » est avancée. Vous devez déterminer si elle est correcte.</x:v>
      </x:c>
      <x:c r="F120" s="28" t="str">
        <x:v>La privation des droits civiques est réservée aux infractions les plus graves. Laquelle de ces situations peut être concernée ?</x:v>
      </x:c>
      <x:c r="G120" s="28" t="str">
        <x:v>Un simple excès de vitesse.</x:v>
      </x:c>
      <x:c r="H120" s="28" t="str">
        <x:v>Une contravention de stationnement.</x:v>
      </x:c>
      <x:c r="I120" s="28" t="str">
        <x:v>Un crime comme le terrorisme ou la corruption.</x:v>
      </x:c>
      <x:c r="J120" s="28" t="str">
        <x:v>Un désaccord avec un voisin.</x:v>
      </x:c>
      <x:c r="K120" s="32" t="str">
        <x:v>C</x:v>
      </x:c>
      <x:c r="L120" s="28" t="str">
        <x:v>La bonne réponse est « Un crime comme le terrorisme ou la corruption ». La peine d'inéligibilité ou de privation de droits civiques est réservée aux infractions graves, notamment celles portant atteinte à la nation, aux droits des Hommes, à la vie publique et politique.</x:v>
      </x:c>
      <x:c r="M120" s="29" t="str">
        <x:v>Fraude électorale; Droits civiques; Justice</x:v>
      </x:c>
    </x:row>
    <x:row r="121">
      <x:c r="A121" s="24" t="str">
        <x:v>MS-NAT-T3-028</x:v>
      </x:c>
      <x:c r="B121" s="25" t="str">
        <x:v>NAT-T3-028</x:v>
      </x:c>
      <x:c r="C121" s="25" t="str">
        <x:v>Droits et devoirs</x:v>
      </x:c>
      <x:c r="D121" s="25" t="str">
        <x:v>🔴 Difficile</x:v>
      </x:c>
      <x:c r="E121" s="28" t="str">
        <x:v>Une personne de votre entourage rencontre une situation concrète et veut agir dans le respect de la loi française. Une personne hésite et choisit « Faire uniquement une demande auprès de France Travail ». Vous l’aidez à retrouver la règle ou le repère juste.</x:v>
      </x:c>
      <x:c r="F121" s="28" t="str">
        <x:v>Comment demander une carte nationale d'identité ?</x:v>
      </x:c>
      <x:c r="G121" s="28" t="str">
        <x:v>Aller au commissariat.</x:v>
      </x:c>
      <x:c r="H121" s="28" t="str">
        <x:v>Aller à la préfecture.</x:v>
      </x:c>
      <x:c r="I121" s="28" t="str">
        <x:v>Faire uniquement une demande auprès de France Travail.</x:v>
      </x:c>
      <x:c r="J121" s="28" t="str">
        <x:v>En faire la demande auprès d'une mairie équipée.</x:v>
      </x:c>
      <x:c r="K121" s="32" t="str">
        <x:v>D</x:v>
      </x:c>
      <x:c r="L121" s="28" t="str">
        <x:v>La bonne réponse est « En faire la demande auprès d'une mairie équipée ». La carte nationale d'identité est délivrée après dépôt d'un dossier dans une mairie habilitée à recueillir les demandes.</x:v>
      </x:c>
      <x:c r="M121" s="29" t="str">
        <x:v>Carte d'identité; Mairie; Démarches administratives</x:v>
      </x:c>
    </x:row>
    <x:row r="122">
      <x:c r="A122" s="24" t="str">
        <x:v>MS-NAT-T3-029</x:v>
      </x:c>
      <x:c r="B122" s="25" t="str">
        <x:v>NAT-T3-029</x:v>
      </x:c>
      <x:c r="C122" s="25" t="str">
        <x:v>Droits et devoirs</x:v>
      </x:c>
      <x:c r="D122" s="25" t="str">
        <x:v>🔴 Difficile</x:v>
      </x:c>
      <x:c r="E122" s="28" t="str">
        <x:v>Dans une situation de la vie quotidienne, une personne souhaite vérifier quels droits et quels devoirs s’appliquent en France. Un participant propose la réponse « Parce qu'une opinion déplaît ». Vous devez vérifier cette affirmation.</x:v>
      </x:c>
      <x:c r="F122" s="28" t="str">
        <x:v>Pourquoi la liberté d'expression peut-elle être limitée par la loi ?</x:v>
      </x:c>
      <x:c r="G122" s="28" t="str">
        <x:v>Pour protéger les droits d'autrui, l'ordre public ou prévenir des infractions prévues par la loi.</x:v>
      </x:c>
      <x:c r="H122" s="28" t="str">
        <x:v>Parce qu'une opinion déplaît.</x:v>
      </x:c>
      <x:c r="I122" s="28" t="str">
        <x:v>Pour interdire toute critique.</x:v>
      </x:c>
      <x:c r="J122" s="28" t="str">
        <x:v>Pour empêcher les débats politiques.</x:v>
      </x:c>
      <x:c r="K122" s="32" t="str">
        <x:v>A</x:v>
      </x:c>
      <x:c r="L122" s="28" t="str">
        <x:v>La bonne réponse est « Pour protéger les droits d'autrui, l'ordre public ou prévenir des infractions prévues par la loi ». La liberté d'expression est une liberté fondamentale, mais elle connaît des limites prévues par la loi afin de protéger les personnes et l'intérêt général.</x:v>
      </x:c>
      <x:c r="M122" s="29" t="str">
        <x:v>Liberté d'expression; Ordre public; Diffamation; Haine</x:v>
      </x:c>
    </x:row>
    <x:row r="123">
      <x:c r="A123" s="24" t="str">
        <x:v>MS-NAT-T3-030</x:v>
      </x:c>
      <x:c r="B123" s="25" t="str">
        <x:v>NAT-T3-030</x:v>
      </x:c>
      <x:c r="C123" s="25" t="str">
        <x:v>Droits et devoirs</x:v>
      </x:c>
      <x:c r="D123" s="25" t="str">
        <x:v>🟡 Intermédiaire</x:v>
      </x:c>
      <x:c r="E123" s="28" t="str">
        <x:v>Au travail ou dans l’espace public, un proche hésite sur une règle liée aux droits, aux libertés ou aux obligations. Un proche pense que la bonne réponse pourrait être « Refuser sans motif ». Aidez-le à raisonner.</x:v>
      </x:c>
      <x:c r="F123" s="28" t="str">
        <x:v>Que doit faire un citoyen convoqué pour être juré d'assises ?</x:v>
      </x:c>
      <x:c r="G123" s="28" t="str">
        <x:v>Ignorer la convocation.</x:v>
      </x:c>
      <x:c r="H123" s="28" t="str">
        <x:v>Répondre à la convocation et exercer cette mission, sauf motif légitime.</x:v>
      </x:c>
      <x:c r="I123" s="28" t="str">
        <x:v>Refuser sans motif.</x:v>
      </x:c>
      <x:c r="J123" s="28" t="str">
        <x:v>Choisir librement d'y aller ou non.</x:v>
      </x:c>
      <x:c r="K123" s="32" t="str">
        <x:v>B</x:v>
      </x:c>
      <x:c r="L123" s="28" t="str">
        <x:v>La bonne réponse est « Répondre à la convocation et exercer cette mission, sauf motif légitime ». Les jurés d'assises participent à la justice rendue au nom du peuple français. Lorsqu'une personne est désignée, elle doit répondre à la convocation, sauf si elle bénéficie d'une dispense prévue par la loi.</x:v>
      </x:c>
      <x:c r="M123" s="29" t="str">
        <x:v>Juré; Cour d'assises; Justice; Obligation civique</x:v>
      </x:c>
    </x:row>
    <x:row r="124">
      <x:c r="A124" s="24" t="str">
        <x:v>MS-NAT-T3-031</x:v>
      </x:c>
      <x:c r="B124" s="25" t="str">
        <x:v>NAT-T3-031</x:v>
      </x:c>
      <x:c r="C124" s="25" t="str">
        <x:v>Droits et devoirs</x:v>
      </x:c>
      <x:c r="D124" s="25" t="str">
        <x:v>🟢 Facile</x:v>
      </x:c>
      <x:c r="E124" s="28" t="str">
        <x:v>Pendant un atelier d’accès aux droits, une personne vous demande de l’aider à identifier la règle applicable. Dans le groupe, la réponse « 21 ans » est avancée. Vous devez déterminer si elle est correcte.</x:v>
      </x:c>
      <x:c r="F124" s="28" t="str">
        <x:v>À quel âge est fixée la majorité civile en France ?</x:v>
      </x:c>
      <x:c r="G124" s="28" t="str">
        <x:v>16 ans.</x:v>
      </x:c>
      <x:c r="H124" s="28" t="str">
        <x:v>17 ans.</x:v>
      </x:c>
      <x:c r="I124" s="28" t="str">
        <x:v>18 ans.</x:v>
      </x:c>
      <x:c r="J124" s="28" t="str">
        <x:v>21 ans.</x:v>
      </x:c>
      <x:c r="K124" s="32" t="str">
        <x:v>C</x:v>
      </x:c>
      <x:c r="L124" s="28" t="str">
        <x:v>La bonne réponse est « 18 ans ». En France, la majorité civile est fixée à 18 ans. À partir de cet âge, une personne devient juridiquement responsable de ses actes et peut exercer pleinement ses droits civils.</x:v>
      </x:c>
      <x:c r="M124" s="29" t="str">
        <x:v>Majorité; 18 ans; Droits civils</x:v>
      </x:c>
    </x:row>
    <x:row r="125">
      <x:c r="A125" s="24" t="str">
        <x:v>MS-NAT-T3-032</x:v>
      </x:c>
      <x:c r="B125" s="25" t="str">
        <x:v>NAT-T3-032</x:v>
      </x:c>
      <x:c r="C125" s="25" t="str">
        <x:v>Droits et devoirs</x:v>
      </x:c>
      <x:c r="D125" s="25" t="str">
        <x:v>🔴 Difficile</x:v>
      </x:c>
      <x:c r="E125" s="28" t="str">
        <x:v>Une personne de votre entourage rencontre une situation concrète et veut agir dans le respect de la loi française. Une personne hésite et choisit « Voter à toutes les élections ». Vous l’aidez à retrouver la règle ou le repère juste.</x:v>
      </x:c>
      <x:c r="F125" s="28" t="str">
        <x:v>Quel est l'un des premiers devoirs de tout citoyen ?</x:v>
      </x:c>
      <x:c r="G125" s="28" t="str">
        <x:v>Voter à toutes les élections.</x:v>
      </x:c>
      <x:c r="H125" s="28" t="str">
        <x:v>Être bénévole.</x:v>
      </x:c>
      <x:c r="I125" s="28" t="str">
        <x:v>Appartenir à une association.</x:v>
      </x:c>
      <x:c r="J125" s="28" t="str">
        <x:v>Respecter les lois.</x:v>
      </x:c>
      <x:c r="K125" s="32" t="str">
        <x:v>D</x:v>
      </x:c>
      <x:c r="L125" s="28" t="str">
        <x:v>La bonne réponse est « Respecter les lois ». Les citoyens disposent de nombreux droits, mais ils ont également des devoirs. Le premier d'entre eux est de respecter les lois de la République.</x:v>
      </x:c>
      <x:c r="M125" s="29" t="str">
        <x:v>Citoyen; Lois; Devoir; République</x:v>
      </x:c>
    </x:row>
    <x:row r="126">
      <x:c r="A126" s="24" t="str">
        <x:v>MS-NAT-T3-033</x:v>
      </x:c>
      <x:c r="B126" s="25" t="str">
        <x:v>NAT-T3-033</x:v>
      </x:c>
      <x:c r="C126" s="25" t="str">
        <x:v>Droits et devoirs</x:v>
      </x:c>
      <x:c r="D126" s="25" t="str">
        <x:v>🔴 Difficile</x:v>
      </x:c>
      <x:c r="E126" s="28" t="str">
        <x:v>Dans une situation de la vie quotidienne, une personne souhaite vérifier quels droits et quels devoirs s’appliquent en France. Un participant propose la réponse « Le délit ». Vous devez vérifier cette affirmation.</x:v>
      </x:c>
      <x:c r="F126" s="28" t="str">
        <x:v>Parmi les trois catégories d'infractions du droit français, laquelle est la plus grave ?</x:v>
      </x:c>
      <x:c r="G126" s="28" t="str">
        <x:v>Le crime.</x:v>
      </x:c>
      <x:c r="H126" s="28" t="str">
        <x:v>La contravention.</x:v>
      </x:c>
      <x:c r="I126" s="28" t="str">
        <x:v>Le délit.</x:v>
      </x:c>
      <x:c r="J126" s="28" t="str">
        <x:v>L'infraction routière.</x:v>
      </x:c>
      <x:c r="K126" s="32" t="str">
        <x:v>A</x:v>
      </x:c>
      <x:c r="L126" s="28" t="str">
        <x:v>La bonne réponse est « Le crime ». En droit français, les infractions sont classées en trois catégories : la contravention, le délit et le crime. Le crime est l'infraction la plus grave.</x:v>
      </x:c>
      <x:c r="M126" s="29" t="str">
        <x:v>Crime; Délit; Contravention; Justice</x:v>
      </x:c>
    </x:row>
    <x:row r="127">
      <x:c r="A127" s="24" t="str">
        <x:v>MS-NAT-T3-034</x:v>
      </x:c>
      <x:c r="B127" s="25" t="str">
        <x:v>NAT-T3-034</x:v>
      </x:c>
      <x:c r="C127" s="25" t="str">
        <x:v>Droits et devoirs</x:v>
      </x:c>
      <x:c r="D127" s="25" t="str">
        <x:v>🔴 Difficile</x:v>
      </x:c>
      <x:c r="E127" s="28" t="str">
        <x:v>Au travail ou dans l’espace public, un proche hésite sur une règle liée aux droits, aux libertés ou aux obligations. Un proche pense que la bonne réponse pourrait être « Avoir un téléphone portable ». Aidez-le à raisonner.</x:v>
      </x:c>
      <x:c r="F127" s="28" t="str">
        <x:v>Qu'est-ce que la citoyenneté numérique ?</x:v>
      </x:c>
      <x:c r="G127" s="28" t="str">
        <x:v>Savoir utiliser un ordinateur.</x:v>
      </x:c>
      <x:c r="H127" s="28" t="str">
        <x:v>L'utilisation responsable, respectueuse et sécurisée des outils numériques et d'Internet.</x:v>
      </x:c>
      <x:c r="I127" s="28" t="str">
        <x:v>Être inscrit sur un réseau social.</x:v>
      </x:c>
      <x:c r="J127" s="28" t="str">
        <x:v>Avoir un téléphone portable.</x:v>
      </x:c>
      <x:c r="K127" s="32" t="str">
        <x:v>B</x:v>
      </x:c>
      <x:c r="L127" s="28" t="str">
        <x:v>La bonne réponse est « L'utilisation responsable, respectueuse et sécurisée des outils numériques et d'Internet ». La citoyenneté numérique implique de respecter les autres en ligne, protéger ses données personnelles, vérifier les informations avant de les partager et respecter les lois sur Internet.</x:v>
      </x:c>
      <x:c r="M127" s="29" t="str">
        <x:v>Internet; Numérique; Citoyenneté; Réseaux sociaux</x:v>
      </x:c>
    </x:row>
    <x:row r="128">
      <x:c r="A128" s="24" t="str">
        <x:v>MS-NAT-T3-035</x:v>
      </x:c>
      <x:c r="B128" s="25" t="str">
        <x:v>NAT-T3-035</x:v>
      </x:c>
      <x:c r="C128" s="25" t="str">
        <x:v>Droits et devoirs</x:v>
      </x:c>
      <x:c r="D128" s="25" t="str">
        <x:v>🟡 Intermédiaire</x:v>
      </x:c>
      <x:c r="E128" s="28" t="str">
        <x:v>Pendant un atelier d’accès aux droits, une personne vous demande de l’aider à identifier la règle applicable. Dans le groupe, la réponse « Les policiers » est avancée. Vous devez déterminer si elle est correcte.</x:v>
      </x:c>
      <x:c r="F128" s="28" t="str">
        <x:v>Qui peut être désigné juré d'assises ?</x:v>
      </x:c>
      <x:c r="G128" s="28" t="str">
        <x:v>Les policiers.</x:v>
      </x:c>
      <x:c r="H128" s="28" t="str">
        <x:v>Les magistrats uniquement.</x:v>
      </x:c>
      <x:c r="I128" s="28" t="str">
        <x:v>Un citoyen inscrit sur les listes électorales, tiré au sort.</x:v>
      </x:c>
      <x:c r="J128" s="28" t="str">
        <x:v>Les avocats uniquement.</x:v>
      </x:c>
      <x:c r="K128" s="32" t="str">
        <x:v>C</x:v>
      </x:c>
      <x:c r="L128" s="28" t="str">
        <x:v>La bonne réponse est « Un citoyen inscrit sur les listes électorales, tiré au sort ». Les jurés d'assises sont des citoyens inscrits sur les listes électorales et tirés au sort. Ils participent aux côtés des magistrats au jugement des crimes les plus graves.</x:v>
      </x:c>
      <x:c r="M128" s="29" t="str">
        <x:v>Juré; Cour d'assises; Citoyen; Tirage au sort</x:v>
      </x:c>
    </x:row>
    <x:row r="129">
      <x:c r="A129" s="24" t="str">
        <x:v>MS-NAT-T3-036</x:v>
      </x:c>
      <x:c r="B129" s="25" t="str">
        <x:v>NAT-T3-036</x:v>
      </x:c>
      <x:c r="C129" s="25" t="str">
        <x:v>Droits et devoirs</x:v>
      </x:c>
      <x:c r="D129" s="25" t="str">
        <x:v>🔴 Difficile</x:v>
      </x:c>
      <x:c r="E129" s="28" t="str">
        <x:v>Une personne de votre entourage rencontre une situation concrète et veut agir dans le respect de la loi française. Une personne hésite et choisit « Célébrer toutes les guerres ». Vous l’aidez à retrouver la règle ou le repère juste.</x:v>
      </x:c>
      <x:c r="F129" s="28" t="str">
        <x:v>Qu'est-ce que le devoir de mémoire ?</x:v>
      </x:c>
      <x:c r="G129" s="28" t="str">
        <x:v>Oublier le passé.</x:v>
      </x:c>
      <x:c r="H129" s="28" t="str">
        <x:v>Célébrer toutes les guerres.</x:v>
      </x:c>
      <x:c r="I129" s="28" t="str">
        <x:v>Apprendre uniquement les dates historiques.</x:v>
      </x:c>
      <x:c r="J129" s="28" t="str">
        <x:v>Se souvenir des événements tragiques du passé afin de transmettre leur histoire et d'éviter qu'ils ne se reproduisent.</x:v>
      </x:c>
      <x:c r="K129" s="32" t="str">
        <x:v>D</x:v>
      </x:c>
      <x:c r="L129" s="28" t="str">
        <x:v>La bonne réponse est « Se souvenir des événements tragiques du passé afin de transmettre leur histoire et d'éviter qu'ils ne se reproduisent ». Le devoir de mémoire est une valeur importante en France. Il consiste à préserver le souvenir des événements tragiques, comme les guerres ou la Shoah, afin d'honorer les victimes, de transmettre l'Histoire et de lutter contre le racisme, l'antisémitisme et toutes les formes de haine.</x:v>
      </x:c>
      <x:c r="M129" s="29" t="str">
        <x:v>Mémoire; Histoire; Shoah; Transmission; Citoyenneté</x:v>
      </x:c>
    </x:row>
    <x:row r="130">
      <x:c r="A130" s="24" t="str">
        <x:v>MS-NAT-T3-037</x:v>
      </x:c>
      <x:c r="B130" s="25" t="str">
        <x:v>NAT-T3-037</x:v>
      </x:c>
      <x:c r="C130" s="25" t="str">
        <x:v>Droits et devoirs</x:v>
      </x:c>
      <x:c r="D130" s="25" t="str">
        <x:v>🔴 Difficile</x:v>
      </x:c>
      <x:c r="E130" s="28" t="str">
        <x:v>Dans une situation de la vie quotidienne, une personne souhaite vérifier quels droits et quels devoirs s’appliquent en France. Un participant propose la réponse « Elle doit quitter le territoire français ». Vous devez vérifier cette affirmation.</x:v>
      </x:c>
      <x:c r="F130" s="28" t="str">
        <x:v>Quelle est l'une des conséquences si un juge prononce une privation des droits civils et politiques à l'encontre d'une personne ?</x:v>
      </x:c>
      <x:c r="G130" s="28" t="str">
        <x:v>Elle ne peut plus voter ni être candidate à une élection.</x:v>
      </x:c>
      <x:c r="H130" s="28" t="str">
        <x:v>Elle perd automatiquement la nationalité française.</x:v>
      </x:c>
      <x:c r="I130" s="28" t="str">
        <x:v>Elle ne peut plus travailler.</x:v>
      </x:c>
      <x:c r="J130" s="28" t="str">
        <x:v>Elle doit quitter le territoire français.</x:v>
      </x:c>
      <x:c r="K130" s="32" t="str">
        <x:v>A</x:v>
      </x:c>
      <x:c r="L130" s="28" t="str">
        <x:v>La bonne réponse est « Elle ne peut plus voter ni être candidate à une élection ». Dans certains cas prévus par la loi, un juge peut prononcer une privation des droits civils et politiques. Pendant cette durée, la personne ne peut notamment plus voter ni être candidate à une élection. Cette sanction est limitée dans le temps et ne retire pas automatiquement la nationalité française.</x:v>
      </x:c>
      <x:c r="M130" s="29" t="str">
        <x:v>Droits civiques; Vote; Éligibilité; Condamnation; Justice</x:v>
      </x:c>
    </x:row>
    <x:row r="131">
      <x:c r="A131" s="24" t="str">
        <x:v>MS-NAT-T4-001</x:v>
      </x:c>
      <x:c r="B131" s="25" t="str">
        <x:v>NAT-T4-001</x:v>
      </x:c>
      <x:c r="C131" s="25" t="str">
        <x:v>Histoire, géographie, patrimoine et culture</x:v>
      </x:c>
      <x:c r="D131" s="25" t="str">
        <x:v>🔴 Difficile</x:v>
      </x:c>
      <x:c r="E131" s="28" t="str">
        <x:v>Vous préparez une sortie en France et une discussion s’engage autour d’un lieu, d’une personnalité ou d’un événement important. Un proche pense que la bonne réponse pourrait être « La Constitution de 1958 ». Aidez-le à raisonner.</x:v>
      </x:c>
      <x:c r="F131" s="28" t="str">
        <x:v>Comment s'appelle le texte, promulgué en 1804 sous Napoléon Ier, qui rassemble les principales règles du droit civil français ?</x:v>
      </x:c>
      <x:c r="G131" s="28" t="str">
        <x:v>Le Code civil.</x:v>
      </x:c>
      <x:c r="H131" s="28" t="str">
        <x:v>La Constitution de 1958.</x:v>
      </x:c>
      <x:c r="I131" s="28" t="str">
        <x:v>La Déclaration des droits de l'Homme.</x:v>
      </x:c>
      <x:c r="J131" s="28" t="str">
        <x:v>Le Code pénal.</x:v>
      </x:c>
      <x:c r="K131" s="32" t="str">
        <x:v>A</x:v>
      </x:c>
      <x:c r="L131" s="28" t="str">
        <x:v>La bonne réponse est « Le Code civil ». Le Code civil, promulgué en 1804 sous Napoléon Ier, rassemble les principales règles du droit civil français (famille, propriété, contrats...). Il constitue l'un des fondements du droit français actuel.</x:v>
      </x:c>
      <x:c r="M131" s="29" t="str">
        <x:v>Napoléon; Code civil; 1804</x:v>
      </x:c>
    </x:row>
    <x:row r="132">
      <x:c r="A132" s="24" t="str">
        <x:v>MS-NAT-T4-002</x:v>
      </x:c>
      <x:c r="B132" s="25" t="str">
        <x:v>NAT-T4-002</x:v>
      </x:c>
      <x:c r="C132" s="25" t="str">
        <x:v>Histoire, géographie, patrimoine et culture</x:v>
      </x:c>
      <x:c r="D132" s="25" t="str">
        <x:v>🟡 Intermédiaire</x:v>
      </x:c>
      <x:c r="E132" s="28" t="str">
        <x:v>Au cours d’un atelier culturel, votre groupe doit reconnaître un repère essentiel de l’histoire ou de la géographie française. Dans le groupe, la réponse « Louis XIV » est avancée. Vous devez déterminer si elle est correcte.</x:v>
      </x:c>
      <x:c r="F132" s="28" t="str">
        <x:v>Lequel de ces noms est celui d'un Président de la Ve République ?</x:v>
      </x:c>
      <x:c r="G132" s="28" t="str">
        <x:v>Napoléon Bonaparte.</x:v>
      </x:c>
      <x:c r="H132" s="28" t="str">
        <x:v>Georges Pompidou.</x:v>
      </x:c>
      <x:c r="I132" s="28" t="str">
        <x:v>Louis XIV.</x:v>
      </x:c>
      <x:c r="J132" s="28" t="str">
        <x:v>Jules Ferry.</x:v>
      </x:c>
      <x:c r="K132" s="32" t="str">
        <x:v>B</x:v>
      </x:c>
      <x:c r="L132" s="28" t="str">
        <x:v>La bonne réponse est « Georges Pompidou ». Depuis la création de la Ve République en 1958, plusieurs Présidents de la République se sont succédé, dont Charles de Gaulle, Georges Pompidou, Valéry Giscard d'Estaing, François Mitterrand, Jacques Chirac, Nicolas Sarkozy, François Hollande et Emmanuel Macron.</x:v>
      </x:c>
      <x:c r="M132" s="29" t="str">
        <x:v>Président; Ve République</x:v>
      </x:c>
    </x:row>
    <x:row r="133">
      <x:c r="A133" s="24" t="str">
        <x:v>MS-NAT-T4-003</x:v>
      </x:c>
      <x:c r="B133" s="25" t="str">
        <x:v>NAT-T4-003</x:v>
      </x:c>
      <x:c r="C133" s="25" t="str">
        <x:v>Histoire, géographie, patrimoine et culture</x:v>
      </x:c>
      <x:c r="D133" s="25" t="str">
        <x:v>🟡 Intermédiaire</x:v>
      </x:c>
      <x:c r="E133" s="28" t="str">
        <x:v>Un proche prépare son entretien de naturalisation et vous demande de l’aider sur un élément du patrimoine français. Une personne hésite et choisit « La Révolution de 1848 ». Vous l’aidez à retrouver la règle ou le repère juste.</x:v>
      </x:c>
      <x:c r="F133" s="28" t="str">
        <x:v>Que célèbre la fête nationale française du 14 juillet ?</x:v>
      </x:c>
      <x:c r="G133" s="28" t="str">
        <x:v>L'Armistice.</x:v>
      </x:c>
      <x:c r="H133" s="28" t="str">
        <x:v>La Libération.</x:v>
      </x:c>
      <x:c r="I133" s="28" t="str">
        <x:v>La prise de la Bastille (1789).</x:v>
      </x:c>
      <x:c r="J133" s="28" t="str">
        <x:v>La Révolution de 1848.</x:v>
      </x:c>
      <x:c r="K133" s="32" t="str">
        <x:v>C</x:v>
      </x:c>
      <x:c r="L133" s="28" t="str">
        <x:v>La bonne réponse est « La prise de la Bastille (1789) ». Le 14 juillet est la fête nationale française. Elle commémore la prise de la Bastille (1789) et symbolise les valeurs de la République.</x:v>
      </x:c>
      <x:c r="M133" s="29" t="str">
        <x:v>14 juillet; Bastille; Fête nationale</x:v>
      </x:c>
    </x:row>
    <x:row r="134">
      <x:c r="A134" s="24" t="str">
        <x:v>MS-NAT-T4-004</x:v>
      </x:c>
      <x:c r="B134" s="25" t="str">
        <x:v>NAT-T4-004</x:v>
      </x:c>
      <x:c r="C134" s="25" t="str">
        <x:v>Histoire, géographie, patrimoine et culture</x:v>
      </x:c>
      <x:c r="D134" s="25" t="str">
        <x:v>🔴 Difficile</x:v>
      </x:c>
      <x:c r="E134" s="28" t="str">
        <x:v>Lors d’une visite culturelle, une personne de votre entourage souhaite vérifier un repère sur l’histoire, la géographie ou le patrimoine français. Un participant propose la réponse « Supprimer l'école privée ». Vous devez vérifier cette affirmation.</x:v>
      </x:c>
      <x:c r="F134" s="28" t="str">
        <x:v>Quel était l'objectif principal des lois de Jules Ferry (1881-1882) ?</x:v>
      </x:c>
      <x:c r="G134" s="28" t="str">
        <x:v>Supprimer l'école privée.</x:v>
      </x:c>
      <x:c r="H134" s="28" t="str">
        <x:v>Créer les universités.</x:v>
      </x:c>
      <x:c r="I134" s="28" t="str">
        <x:v>Rendre l'école payante.</x:v>
      </x:c>
      <x:c r="J134" s="28" t="str">
        <x:v>Rendre l'école gratuite, laïque et obligatoire.</x:v>
      </x:c>
      <x:c r="K134" s="32" t="str">
        <x:v>D</x:v>
      </x:c>
      <x:c r="L134" s="28" t="str">
        <x:v>La bonne réponse est « Rendre l'école gratuite, laïque et obligatoire ». Les lois de Jules Ferry (1881-1882) rendent progressivement l'école primaire gratuite, laïque et obligatoire.</x:v>
      </x:c>
      <x:c r="M134" s="29" t="str">
        <x:v>Jules Ferry; École; IIIe République</x:v>
      </x:c>
    </x:row>
    <x:row r="135">
      <x:c r="A135" s="24" t="str">
        <x:v>MS-NAT-T4-005</x:v>
      </x:c>
      <x:c r="B135" s="25" t="str">
        <x:v>NAT-T4-005</x:v>
      </x:c>
      <x:c r="C135" s="25" t="str">
        <x:v>Histoire, géographie, patrimoine et culture</x:v>
      </x:c>
      <x:c r="D135" s="25" t="str">
        <x:v>🔴 Difficile</x:v>
      </x:c>
      <x:c r="E135" s="28" t="str">
        <x:v>Vous préparez une sortie en France et une discussion s’engage autour d’un lieu, d’une personnalité ou d’un événement important. Un proche pense que la bonne réponse pourrait être « Création de l'Union européenne ». Aidez-le à raisonner.</x:v>
      </x:c>
      <x:c r="F135" s="28" t="str">
        <x:v>Pourquoi l'année 1958 est-elle importante dans l'histoire des institutions françaises ?</x:v>
      </x:c>
      <x:c r="G135" s="28" t="str">
        <x:v>Adoption de la Constitution qui fonde la Ve République.</x:v>
      </x:c>
      <x:c r="H135" s="28" t="str">
        <x:v>Début de la Première Guerre mondiale.</x:v>
      </x:c>
      <x:c r="I135" s="28" t="str">
        <x:v>Création de l'Union européenne.</x:v>
      </x:c>
      <x:c r="J135" s="28" t="str">
        <x:v>Révolution française.</x:v>
      </x:c>
      <x:c r="K135" s="32" t="str">
        <x:v>A</x:v>
      </x:c>
      <x:c r="L135" s="28" t="str">
        <x:v>La bonne réponse est « Adoption de la Constitution qui fonde la Ve République ». La Constitution du 4 octobre 1958 fonde la Ve République. Elle organise les institutions françaises actuelles.</x:v>
      </x:c>
      <x:c r="M135" s="29" t="str">
        <x:v>1958; Ve République; Constitution</x:v>
      </x:c>
    </x:row>
    <x:row r="136">
      <x:c r="A136" s="24" t="str">
        <x:v>MS-NAT-T4-006</x:v>
      </x:c>
      <x:c r="B136" s="25" t="str">
        <x:v>NAT-T4-006</x:v>
      </x:c>
      <x:c r="C136" s="25" t="str">
        <x:v>Histoire, géographie, patrimoine et culture</x:v>
      </x:c>
      <x:c r="D136" s="25" t="str">
        <x:v>🔴 Difficile</x:v>
      </x:c>
      <x:c r="E136" s="28" t="str">
        <x:v>Au cours d’un atelier culturel, votre groupe doit reconnaître un repère essentiel de l’histoire ou de la géographie française. Dans le groupe, la réponse « L'abolition de la peine de mort » est avancée. Vous devez déterminer si elle est correcte.</x:v>
      </x:c>
      <x:c r="F136" s="28" t="str">
        <x:v>Quelle loi Simone Veil a-t-elle fait adopter en 1975 ?</x:v>
      </x:c>
      <x:c r="G136" s="28" t="str">
        <x:v>La création de la Sécurité sociale.</x:v>
      </x:c>
      <x:c r="H136" s="28" t="str">
        <x:v>La loi légalisant l'interruption volontaire de grossesse (IVG).</x:v>
      </x:c>
      <x:c r="I136" s="28" t="str">
        <x:v>La Constitution.</x:v>
      </x:c>
      <x:c r="J136" s="28" t="str">
        <x:v>L'abolition de la peine de mort.</x:v>
      </x:c>
      <x:c r="K136" s="32" t="str">
        <x:v>B</x:v>
      </x:c>
      <x:c r="L136" s="28" t="str">
        <x:v>La bonne réponse est « La loi légalisant l'interruption volontaire de grossesse (IVG) ». Survivante de la Shoah, Simone Veil est une grande figure de la République. Ministre de la Santé, elle a porté la loi de 1975 légalisant l'IVG. Elle a également été la première présidente du Parlement européen élue au suffrage universel.</x:v>
      </x:c>
      <x:c r="M136" s="29" t="str">
        <x:v>Simone Veil; IVG; 1975; Parlement européen</x:v>
      </x:c>
    </x:row>
    <x:row r="137">
      <x:c r="A137" s="24" t="str">
        <x:v>MS-NAT-T4-007</x:v>
      </x:c>
      <x:c r="B137" s="25" t="str">
        <x:v>NAT-T4-007</x:v>
      </x:c>
      <x:c r="C137" s="25" t="str">
        <x:v>Histoire, géographie, patrimoine et culture</x:v>
      </x:c>
      <x:c r="D137" s="25" t="str">
        <x:v>🟡 Intermédiaire</x:v>
      </x:c>
      <x:c r="E137" s="28" t="str">
        <x:v>Un proche prépare son entretien de naturalisation et vous demande de l’aider sur un élément du patrimoine français. Une personne hésite et choisit « Espagne ». Vous l’aidez à retrouver la règle ou le repère juste.</x:v>
      </x:c>
      <x:c r="F137" s="28" t="str">
        <x:v>Lequel de ces pays est l'un des six pays fondateurs de la construction européenne ?</x:v>
      </x:c>
      <x:c r="G137" s="28" t="str">
        <x:v>Espagne.</x:v>
      </x:c>
      <x:c r="H137" s="28" t="str">
        <x:v>Croatie.</x:v>
      </x:c>
      <x:c r="I137" s="28" t="str">
        <x:v>Italie.</x:v>
      </x:c>
      <x:c r="J137" s="28" t="str">
        <x:v>Pologne.</x:v>
      </x:c>
      <x:c r="K137" s="32" t="str">
        <x:v>C</x:v>
      </x:c>
      <x:c r="L137" s="28" t="str">
        <x:v>La bonne réponse est « Italie ». Les six États fondateurs (France, Allemagne, Italie, Belgique, Pays-Bas, Luxembourg) sont à l'origine de la construction européenne avec la Communauté européenne du charbon et de l'acier (CECA) en 1951.</x:v>
      </x:c>
      <x:c r="M137" s="29" t="str">
        <x:v>Union européenne; CECA; Pays fondateurs</x:v>
      </x:c>
    </x:row>
    <x:row r="138">
      <x:c r="A138" s="24" t="str">
        <x:v>MS-NAT-T4-008</x:v>
      </x:c>
      <x:c r="B138" s="25" t="str">
        <x:v>NAT-T4-008</x:v>
      </x:c>
      <x:c r="C138" s="25" t="str">
        <x:v>Histoire, géographie, patrimoine et culture</x:v>
      </x:c>
      <x:c r="D138" s="25" t="str">
        <x:v>🔴 Difficile</x:v>
      </x:c>
      <x:c r="E138" s="28" t="str">
        <x:v>Lors d’une visite culturelle, une personne de votre entourage souhaite vérifier un repère sur l’histoire, la géographie ou le patrimoine français. Un participant propose la réponse « Hauts-de-France ». Vous devez vérifier cette affirmation.</x:v>
      </x:c>
      <x:c r="F138" s="28" t="str">
        <x:v>Sur quelle région française a eu lieu le Débarquement allié du 6 juin 1944 ?</x:v>
      </x:c>
      <x:c r="G138" s="28" t="str">
        <x:v>Bretagne.</x:v>
      </x:c>
      <x:c r="H138" s="28" t="str">
        <x:v>Hauts-de-France.</x:v>
      </x:c>
      <x:c r="I138" s="28" t="str">
        <x:v>Provence.</x:v>
      </x:c>
      <x:c r="J138" s="28" t="str">
        <x:v>Normandie.</x:v>
      </x:c>
      <x:c r="K138" s="32" t="str">
        <x:v>D</x:v>
      </x:c>
      <x:c r="L138" s="28" t="str">
        <x:v>La bonne réponse est « Normandie ». Le Débarquement du 6 juin 1944 a eu lieu sur plusieurs plages de Normandie. Il marque le début de la libération de la France occupée.</x:v>
      </x:c>
      <x:c r="M138" s="29" t="str">
        <x:v>Normandie; Débarquement; 1944</x:v>
      </x:c>
    </x:row>
    <x:row r="139">
      <x:c r="A139" s="24" t="str">
        <x:v>MS-NAT-T4-009</x:v>
      </x:c>
      <x:c r="B139" s="25" t="str">
        <x:v>NAT-T4-009</x:v>
      </x:c>
      <x:c r="C139" s="25" t="str">
        <x:v>Histoire, géographie, patrimoine et culture</x:v>
      </x:c>
      <x:c r="D139" s="25" t="str">
        <x:v>🔴 Difficile</x:v>
      </x:c>
      <x:c r="E139" s="28" t="str">
        <x:v>Vous préparez une sortie en France et une discussion s’engage autour d’un lieu, d’une personnalité ou d’un événement important. Un proche pense que la bonne réponse pourrait être « Orléans ». Aidez-le à raisonner.</x:v>
      </x:c>
      <x:c r="F139" s="28" t="str">
        <x:v>Dans quelle ville les rois de France étaient-ils traditionnellement sacrés ?</x:v>
      </x:c>
      <x:c r="G139" s="28" t="str">
        <x:v>Reims.</x:v>
      </x:c>
      <x:c r="H139" s="28" t="str">
        <x:v>Paris.</x:v>
      </x:c>
      <x:c r="I139" s="28" t="str">
        <x:v>Versailles.</x:v>
      </x:c>
      <x:c r="J139" s="28" t="str">
        <x:v>Orléans.</x:v>
      </x:c>
      <x:c r="K139" s="32" t="str">
        <x:v>A</x:v>
      </x:c>
      <x:c r="L139" s="28" t="str">
        <x:v>La bonne réponse est « Reims ». La cathédrale de Reims a accueilli le sacre de la grande majorité des rois de France, faisant de cette ville un lieu symbolique de la monarchie française.</x:v>
      </x:c>
      <x:c r="M139" s="29" t="str">
        <x:v>Reims; Cathédrale; Monarchie; Sacre</x:v>
      </x:c>
    </x:row>
    <x:row r="140">
      <x:c r="A140" s="24" t="str">
        <x:v>MS-NAT-T4-010</x:v>
      </x:c>
      <x:c r="B140" s="25" t="str">
        <x:v>NAT-T4-010</x:v>
      </x:c>
      <x:c r="C140" s="25" t="str">
        <x:v>Histoire, géographie, patrimoine et culture</x:v>
      </x:c>
      <x:c r="D140" s="25" t="str">
        <x:v>🔴 Difficile</x:v>
      </x:c>
      <x:c r="E140" s="28" t="str">
        <x:v>Au cours d’un atelier culturel, votre groupe doit reconnaître un repère essentiel de l’histoire ou de la géographie française. Dans le groupe, la réponse « Napoléon » est avancée. Vous devez déterminer si elle est correcte.</x:v>
      </x:c>
      <x:c r="F140" s="28" t="str">
        <x:v>Qui est l'auteur des grandes lois scolaires de la IIIᵉ République rendant l'école gratuite, laïque et obligatoire ?</x:v>
      </x:c>
      <x:c r="G140" s="28" t="str">
        <x:v>Napoléon.</x:v>
      </x:c>
      <x:c r="H140" s="28" t="str">
        <x:v>Jules Ferry.</x:v>
      </x:c>
      <x:c r="I140" s="28" t="str">
        <x:v>Victor Hugo.</x:v>
      </x:c>
      <x:c r="J140" s="28" t="str">
        <x:v>Charles de Gaulle.</x:v>
      </x:c>
      <x:c r="K140" s="32" t="str">
        <x:v>B</x:v>
      </x:c>
      <x:c r="L140" s="28" t="str">
        <x:v>La bonne réponse est « Jules Ferry ». Jules Ferry est l'auteur des grandes lois scolaires de la IIIᵉ République. Elles garantissent l'accès de tous les enfants à une école publique gratuite, laïque et obligatoire.</x:v>
      </x:c>
      <x:c r="M140" s="29" t="str">
        <x:v>Jules Ferry; École; 1881; 1882; IIIe République</x:v>
      </x:c>
    </x:row>
    <x:row r="141">
      <x:c r="A141" s="24" t="str">
        <x:v>MS-NAT-T4-011</x:v>
      </x:c>
      <x:c r="B141" s="25" t="str">
        <x:v>NAT-T4-011</x:v>
      </x:c>
      <x:c r="C141" s="25" t="str">
        <x:v>Histoire, géographie, patrimoine et culture</x:v>
      </x:c>
      <x:c r="D141" s="25" t="str">
        <x:v>🟡 Intermédiaire</x:v>
      </x:c>
      <x:c r="E141" s="28" t="str">
        <x:v>Un proche prépare son entretien de naturalisation et vous demande de l’aider sur un élément du patrimoine français. Une personne hésite et choisit « Louis XV ». Vous l’aidez à retrouver la règle ou le repère juste.</x:v>
      </x:c>
      <x:c r="F141" s="28" t="str">
        <x:v>Quel roi de France a été guillotiné le 21 janvier 1793 pendant la Révolution ?</x:v>
      </x:c>
      <x:c r="G141" s="28" t="str">
        <x:v>Louis XIV.</x:v>
      </x:c>
      <x:c r="H141" s="28" t="str">
        <x:v>Louis XV.</x:v>
      </x:c>
      <x:c r="I141" s="28" t="str">
        <x:v>Louis XVI.</x:v>
      </x:c>
      <x:c r="J141" s="28" t="str">
        <x:v>Napoléon Ier.</x:v>
      </x:c>
      <x:c r="K141" s="32" t="str">
        <x:v>C</x:v>
      </x:c>
      <x:c r="L141" s="28" t="str">
        <x:v>La bonne réponse est « Louis XVI ». Louis XVI est le dernier roi de l'Ancien Régime. Il est guillotiné le 21 janvier 1793 pendant la Révolution française.</x:v>
      </x:c>
      <x:c r="M141" s="29" t="str">
        <x:v>Louis XVI; Révolution française; 1793; Guillotine</x:v>
      </x:c>
    </x:row>
    <x:row r="142">
      <x:c r="A142" s="24" t="str">
        <x:v>MS-NAT-T4-012</x:v>
      </x:c>
      <x:c r="B142" s="25" t="str">
        <x:v>NAT-T4-012</x:v>
      </x:c>
      <x:c r="C142" s="25" t="str">
        <x:v>Histoire, géographie, patrimoine et culture</x:v>
      </x:c>
      <x:c r="D142" s="25" t="str">
        <x:v>🟢 Facile</x:v>
      </x:c>
      <x:c r="E142" s="28" t="str">
        <x:v>Lors d’une visite culturelle, une personne de votre entourage souhaite vérifier un repère sur l’histoire, la géographie ou le patrimoine français. Un participant propose la réponse « 1815 ». Vous devez vérifier cette affirmation.</x:v>
      </x:c>
      <x:c r="F142" s="28" t="str">
        <x:v>En quelle année a débuté la Révolution française ?</x:v>
      </x:c>
      <x:c r="G142" s="28" t="str">
        <x:v>1792.</x:v>
      </x:c>
      <x:c r="H142" s="28" t="str">
        <x:v>1804.</x:v>
      </x:c>
      <x:c r="I142" s="28" t="str">
        <x:v>1815.</x:v>
      </x:c>
      <x:c r="J142" s="28" t="str">
        <x:v>1789.</x:v>
      </x:c>
      <x:c r="K142" s="32" t="str">
        <x:v>D</x:v>
      </x:c>
      <x:c r="L142" s="28" t="str">
        <x:v>La bonne réponse est « 1789 ». La Révolution française débute en 1789. Cette année marque notamment la prise de la Bastille le 14 juillet et l'adoption de la Déclaration des droits de l'Homme et du Citoyen.</x:v>
      </x:c>
      <x:c r="M142" s="29" t="str">
        <x:v>1789; Révolution française; Bastille</x:v>
      </x:c>
    </x:row>
    <x:row r="143">
      <x:c r="A143" s="24" t="str">
        <x:v>MS-NAT-T4-013</x:v>
      </x:c>
      <x:c r="B143" s="25" t="str">
        <x:v>NAT-T4-013</x:v>
      </x:c>
      <x:c r="C143" s="25" t="str">
        <x:v>Histoire, géographie, patrimoine et culture</x:v>
      </x:c>
      <x:c r="D143" s="25" t="str">
        <x:v>🟡 Intermédiaire</x:v>
      </x:c>
      <x:c r="E143" s="28" t="str">
        <x:v>Vous préparez une sortie en France et une discussion s’engage autour d’un lieu, d’une personnalité ou d’un événement important. Un proche pense que la bonne réponse pourrait être « 1789 ». Aidez-le à raisonner.</x:v>
      </x:c>
      <x:c r="F143" s="28" t="str">
        <x:v>En quelle année Napoléon Bonaparte est-il devenu empereur des Français ?</x:v>
      </x:c>
      <x:c r="G143" s="28" t="str">
        <x:v>1804.</x:v>
      </x:c>
      <x:c r="H143" s="28" t="str">
        <x:v>1789.</x:v>
      </x:c>
      <x:c r="I143" s="28" t="str">
        <x:v>1799.</x:v>
      </x:c>
      <x:c r="J143" s="28" t="str">
        <x:v>1815.</x:v>
      </x:c>
      <x:c r="K143" s="32" t="str">
        <x:v>A</x:v>
      </x:c>
      <x:c r="L143" s="28" t="str">
        <x:v>La bonne réponse est « 1804 ». Napoléon Bonaparte devient empereur des Français en 1804. Son sacre a lieu le 2 décembre 1804 à Notre-Dame de Paris.</x:v>
      </x:c>
      <x:c r="M143" s="29" t="str">
        <x:v>Napoléon; 1804; Empire</x:v>
      </x:c>
    </x:row>
    <x:row r="144">
      <x:c r="A144" s="24" t="str">
        <x:v>MS-NAT-T4-014</x:v>
      </x:c>
      <x:c r="B144" s="25" t="str">
        <x:v>NAT-T4-014</x:v>
      </x:c>
      <x:c r="C144" s="25" t="str">
        <x:v>Histoire, géographie, patrimoine et culture</x:v>
      </x:c>
      <x:c r="D144" s="25" t="str">
        <x:v>🟡 Intermédiaire</x:v>
      </x:c>
      <x:c r="E144" s="28" t="str">
        <x:v>Au cours d’un atelier culturel, votre groupe doit reconnaître un repère essentiel de l’histoire ou de la géographie française. Dans le groupe, la réponse « Victor Hugo » est avancée. Vous devez déterminer si elle est correcte.</x:v>
      </x:c>
      <x:c r="F144" s="28" t="str">
        <x:v>Quel homme d'État a fait adopter des lois rendant l'école laïque, gratuite et obligatoire pour les enfants de 6 à 13 ans ?</x:v>
      </x:c>
      <x:c r="G144" s="28" t="str">
        <x:v>Napoléon.</x:v>
      </x:c>
      <x:c r="H144" s="28" t="str">
        <x:v>Jules Ferry.</x:v>
      </x:c>
      <x:c r="I144" s="28" t="str">
        <x:v>Victor Hugo.</x:v>
      </x:c>
      <x:c r="J144" s="28" t="str">
        <x:v>Charles de Gaulle.</x:v>
      </x:c>
      <x:c r="K144" s="32" t="str">
        <x:v>B</x:v>
      </x:c>
      <x:c r="L144" s="28" t="str">
        <x:v>La bonne réponse est « Jules Ferry ». Jules Ferry est un homme d'État français. Il a fait adopter des lois qui rendent l'école laïque, gratuite et obligatoire pour tous les enfants âgés de 6 à 13 ans.</x:v>
      </x:c>
      <x:c r="M144" s="29" t="str">
        <x:v>Jules Ferry; École; Instruction obligatoire</x:v>
      </x:c>
    </x:row>
    <x:row r="145">
      <x:c r="A145" s="24" t="str">
        <x:v>MS-NAT-T4-015</x:v>
      </x:c>
      <x:c r="B145" s="25" t="str">
        <x:v>NAT-T4-015</x:v>
      </x:c>
      <x:c r="C145" s="25" t="str">
        <x:v>Histoire, géographie, patrimoine et culture</x:v>
      </x:c>
      <x:c r="D145" s="25" t="str">
        <x:v>🟡 Intermédiaire</x:v>
      </x:c>
      <x:c r="E145" s="28" t="str">
        <x:v>Un proche prépare son entretien de naturalisation et vous demande de l’aider sur un élément du patrimoine français. Une personne hésite et choisit « 11 novembre 1918 ». Vous l’aidez à retrouver la règle ou le repère juste.</x:v>
      </x:c>
      <x:c r="F145" s="28" t="str">
        <x:v>À quelle date le général de Gaulle a-t-il lancé son appel à la Résistance depuis Londres ?</x:v>
      </x:c>
      <x:c r="G145" s="28" t="str">
        <x:v>8 mai 1945.</x:v>
      </x:c>
      <x:c r="H145" s="28" t="str">
        <x:v>6 juin 1944.</x:v>
      </x:c>
      <x:c r="I145" s="28" t="str">
        <x:v>Le 18 juin 1940.</x:v>
      </x:c>
      <x:c r="J145" s="28" t="str">
        <x:v>11 novembre 1918.</x:v>
      </x:c>
      <x:c r="K145" s="32" t="str">
        <x:v>C</x:v>
      </x:c>
      <x:c r="L145" s="28" t="str">
        <x:v>La bonne réponse est « Le 18 juin 1940 ». Le 18 juin 1940, depuis Londres, le général de Gaulle lance un appel à poursuivre le combat contre l'Allemagne nazie. Cet appel est devenu le symbole de la Résistance française.</x:v>
      </x:c>
      <x:c r="M145" s="29" t="str">
        <x:v>18 juin 1940; Charles de Gaulle; Résistance</x:v>
      </x:c>
    </x:row>
    <x:row r="146">
      <x:c r="A146" s="24" t="str">
        <x:v>MS-NAT-T4-016</x:v>
      </x:c>
      <x:c r="B146" s="25" t="str">
        <x:v>NAT-T4-016</x:v>
      </x:c>
      <x:c r="C146" s="25" t="str">
        <x:v>Histoire, géographie, patrimoine et culture</x:v>
      </x:c>
      <x:c r="D146" s="25" t="str">
        <x:v>🔴 Difficile</x:v>
      </x:c>
      <x:c r="E146" s="28" t="str">
        <x:v>Lors d’une visite culturelle, une personne de votre entourage souhaite vérifier un repère sur l’histoire, la géographie ou le patrimoine français. Un participant propose la réponse « Une bataille ». Vous devez vérifier cette affirmation.</x:v>
      </x:c>
      <x:c r="F146" s="28" t="str">
        <x:v>Qu'est-ce que la Shoah ?</x:v>
      </x:c>
      <x:c r="G146" s="28" t="str">
        <x:v>Une bataille.</x:v>
      </x:c>
      <x:c r="H146" s="28" t="str">
        <x:v>Une religion.</x:v>
      </x:c>
      <x:c r="I146" s="28" t="str">
        <x:v>La Première Guerre mondiale.</x:v>
      </x:c>
      <x:c r="J146" s="28" t="str">
        <x:v>L'extermination des Juifs d'Europe par le régime nazi.</x:v>
      </x:c>
      <x:c r="K146" s="32" t="str">
        <x:v>D</x:v>
      </x:c>
      <x:c r="L146" s="28" t="str">
        <x:v>La bonne réponse est « L'extermination des Juifs d'Europe par le régime nazi ». La Shoah désigne l'extermination systématique d'environ six millions de Juifs par le régime nazi entre 1941 et 1945. Son étude participe au devoir de mémoire et à la lutte contre l'antisémitisme et le racisme.</x:v>
      </x:c>
      <x:c r="M146" s="29" t="str">
        <x:v>Shoah; Génocide; Nazisme; Seconde Guerre mondiale</x:v>
      </x:c>
    </x:row>
    <x:row r="147">
      <x:c r="A147" s="24" t="str">
        <x:v>MS-NAT-T4-017</x:v>
      </x:c>
      <x:c r="B147" s="25" t="str">
        <x:v>NAT-T4-017</x:v>
      </x:c>
      <x:c r="C147" s="25" t="str">
        <x:v>Histoire, géographie, patrimoine et culture</x:v>
      </x:c>
      <x:c r="D147" s="25" t="str">
        <x:v>🔴 Difficile</x:v>
      </x:c>
      <x:c r="E147" s="28" t="str">
        <x:v>Vous préparez une sortie en France et une discussion s’engage autour d’un lieu, d’une personnalité ou d’un événement important. Un proche pense que la bonne réponse pourrait être « Madame Bovary ». Aidez-le à raisonner.</x:v>
      </x:c>
      <x:c r="F147" s="28" t="str">
        <x:v>Laquelle de ces œuvres a été écrite par Victor Hugo ?</x:v>
      </x:c>
      <x:c r="G147" s="28" t="str">
        <x:v>Les Misérables.</x:v>
      </x:c>
      <x:c r="H147" s="28" t="str">
        <x:v>Le Petit Prince.</x:v>
      </x:c>
      <x:c r="I147" s="28" t="str">
        <x:v>Madame Bovary.</x:v>
      </x:c>
      <x:c r="J147" s="28" t="str">
        <x:v>Germinal.</x:v>
      </x:c>
      <x:c r="K147" s="32" t="str">
        <x:v>A</x:v>
      </x:c>
      <x:c r="L147" s="28" t="str">
        <x:v>La bonne réponse est « Les Misérables ». Victor Hugo est l'un des plus grands écrivains français. Parmi ses œuvres les plus célèbres figurent Les Misérables et Notre-Dame de Paris.</x:v>
      </x:c>
      <x:c r="M147" s="29" t="str">
        <x:v>Victor Hugo; Les Misérables; Notre-Dame de Paris</x:v>
      </x:c>
    </x:row>
    <x:row r="148">
      <x:c r="A148" s="24" t="str">
        <x:v>MS-NAT-T4-018</x:v>
      </x:c>
      <x:c r="B148" s="25" t="str">
        <x:v>NAT-T4-018</x:v>
      </x:c>
      <x:c r="C148" s="25" t="str">
        <x:v>Histoire, géographie, patrimoine et culture</x:v>
      </x:c>
      <x:c r="D148" s="25" t="str">
        <x:v>🔴 Difficile</x:v>
      </x:c>
      <x:c r="E148" s="28" t="str">
        <x:v>Au cours d’un atelier culturel, votre groupe doit reconnaître un repère essentiel de l’histoire ou de la géographie française. Dans le groupe, la réponse « Japon » est avancée. Vous devez déterminer si elle est correcte.</x:v>
      </x:c>
      <x:c r="F148" s="28" t="str">
        <x:v>Citez un pays ayant été colonisé par la France.</x:v>
      </x:c>
      <x:c r="G148" s="28" t="str">
        <x:v>Espagne.</x:v>
      </x:c>
      <x:c r="H148" s="28" t="str">
        <x:v>Algérie.</x:v>
      </x:c>
      <x:c r="I148" s="28" t="str">
        <x:v>Allemagne.</x:v>
      </x:c>
      <x:c r="J148" s="28" t="str">
        <x:v>Japon.</x:v>
      </x:c>
      <x:c r="K148" s="32" t="str">
        <x:v>B</x:v>
      </x:c>
      <x:c r="L148" s="28" t="str">
        <x:v>La bonne réponse est « Algérie ». La France a constitué un vaste empire colonial, notamment en Afrique, en Asie et dans les Caraïbes. Plusieurs pays actuels (Algérie, Maroc, Tunisie, Sénégal, Vietnam, Côte d'Ivoire, Madagascar...) ont été des colonies ou des protectorats français.</x:v>
      </x:c>
      <x:c r="M148" s="29" t="str">
        <x:v>Colonisation; Empire colonial; Algérie; Afrique</x:v>
      </x:c>
    </x:row>
    <x:row r="149">
      <x:c r="A149" s="24" t="str">
        <x:v>MS-NAT-T4-019</x:v>
      </x:c>
      <x:c r="B149" s="25" t="str">
        <x:v>NAT-T4-019</x:v>
      </x:c>
      <x:c r="C149" s="25" t="str">
        <x:v>Histoire, géographie, patrimoine et culture</x:v>
      </x:c>
      <x:c r="D149" s="25" t="str">
        <x:v>🔴 Difficile</x:v>
      </x:c>
      <x:c r="E149" s="28" t="str">
        <x:v>Un proche prépare son entretien de naturalisation et vous demande de l’aider sur un élément du patrimoine français. Une personne hésite et choisit « 1958 ». Vous l’aidez à retrouver la règle ou le repère juste.</x:v>
      </x:c>
      <x:c r="F149" s="28" t="str">
        <x:v>Depuis quelle année les Français élisent-ils le Président de la République au suffrage universel direct ?</x:v>
      </x:c>
      <x:c r="G149" s="28" t="str">
        <x:v>1958.</x:v>
      </x:c>
      <x:c r="H149" s="28" t="str">
        <x:v>1945.</x:v>
      </x:c>
      <x:c r="I149" s="28" t="str">
        <x:v>1962.</x:v>
      </x:c>
      <x:c r="J149" s="28" t="str">
        <x:v>1789.</x:v>
      </x:c>
      <x:c r="K149" s="32" t="str">
        <x:v>C</x:v>
      </x:c>
      <x:c r="L149" s="28" t="str">
        <x:v>La bonne réponse est « 1962 ». Le référendum de 1962, voulu par le général de Gaulle, instaure l'élection du Président de la République au suffrage universel direct.</x:v>
      </x:c>
      <x:c r="M149" s="29" t="str">
        <x:v>1962; Suffrage universel; Président; Charles de Gaulle</x:v>
      </x:c>
    </x:row>
    <x:row r="150">
      <x:c r="A150" s="24" t="str">
        <x:v>MS-NAT-T4-020</x:v>
      </x:c>
      <x:c r="B150" s="25" t="str">
        <x:v>NAT-T4-020</x:v>
      </x:c>
      <x:c r="C150" s="25" t="str">
        <x:v>Histoire, géographie, patrimoine et culture</x:v>
      </x:c>
      <x:c r="D150" s="25" t="str">
        <x:v>🔴 Difficile</x:v>
      </x:c>
      <x:c r="E150" s="28" t="str">
        <x:v>Lors d’une visite culturelle, une personne de votre entourage souhaite vérifier un repère sur l’histoire, la géographie ou le patrimoine français. Un participant propose la réponse « 1957 ». Vous devez vérifier cette affirmation.</x:v>
      </x:c>
      <x:c r="F150" s="28" t="str">
        <x:v>En quelle année l'Union européenne a-t-elle été officiellement créée par le traité de Maastricht ?</x:v>
      </x:c>
      <x:c r="G150" s="28" t="str">
        <x:v>1951.</x:v>
      </x:c>
      <x:c r="H150" s="28" t="str">
        <x:v>1957.</x:v>
      </x:c>
      <x:c r="I150" s="28" t="str">
        <x:v>2002.</x:v>
      </x:c>
      <x:c r="J150" s="28" t="str">
        <x:v>1992.</x:v>
      </x:c>
      <x:c r="K150" s="32" t="str">
        <x:v>D</x:v>
      </x:c>
      <x:c r="L150" s="28" t="str">
        <x:v>La bonne réponse est « 1992 ». L'Union européenne est officiellement créée par le traité de Maastricht, signé en 1992. Ce traité instaure également la citoyenneté européenne.</x:v>
      </x:c>
      <x:c r="M150" s="29" t="str">
        <x:v>1992; Union européenne; Maastricht</x:v>
      </x:c>
    </x:row>
    <x:row r="151">
      <x:c r="A151" s="24" t="str">
        <x:v>MS-NAT-T4-021</x:v>
      </x:c>
      <x:c r="B151" s="25" t="str">
        <x:v>NAT-T4-021</x:v>
      </x:c>
      <x:c r="C151" s="25" t="str">
        <x:v>Histoire, géographie, patrimoine et culture</x:v>
      </x:c>
      <x:c r="D151" s="25" t="str">
        <x:v>🔴 Difficile</x:v>
      </x:c>
      <x:c r="E151" s="28" t="str">
        <x:v>Vous préparez une sortie en France et une discussion s’engage autour d’un lieu, d’une personnalité ou d’un événement important. Un proche pense que la bonne réponse pourrait être « 1938-1946 ». Aidez-le à raisonner.</x:v>
      </x:c>
      <x:c r="F151" s="28" t="str">
        <x:v>De quand à quand s'est déroulée la Seconde Guerre mondiale ?</x:v>
      </x:c>
      <x:c r="G151" s="28" t="str">
        <x:v>De 1939 à 1945.</x:v>
      </x:c>
      <x:c r="H151" s="28" t="str">
        <x:v>1914-1918.</x:v>
      </x:c>
      <x:c r="I151" s="28" t="str">
        <x:v>1940-1944.</x:v>
      </x:c>
      <x:c r="J151" s="28" t="str">
        <x:v>1938-1946.</x:v>
      </x:c>
      <x:c r="K151" s="32" t="str">
        <x:v>A</x:v>
      </x:c>
      <x:c r="L151" s="28" t="str">
        <x:v>La bonne réponse est « De 1939 à 1945 ». La Seconde Guerre mondiale s'est déroulée de 1939 à 1945. Elle a profondément marqué la France, l'Europe et le monde.</x:v>
      </x:c>
      <x:c r="M151" s="29" t="str">
        <x:v>1939; 1945; Seconde Guerre mondiale</x:v>
      </x:c>
    </x:row>
    <x:row r="152">
      <x:c r="A152" s="24" t="str">
        <x:v>MS-NAT-T4-022</x:v>
      </x:c>
      <x:c r="B152" s="25" t="str">
        <x:v>NAT-T4-022</x:v>
      </x:c>
      <x:c r="C152" s="25" t="str">
        <x:v>Histoire, géographie, patrimoine et culture</x:v>
      </x:c>
      <x:c r="D152" s="25" t="str">
        <x:v>🔴 Difficile</x:v>
      </x:c>
      <x:c r="E152" s="28" t="str">
        <x:v>Au cours d’un atelier culturel, votre groupe doit reconnaître un repère essentiel de l’histoire ou de la géographie française. Dans le groupe, la réponse « 1939-1945 » est avancée. Vous devez déterminer si elle est correcte.</x:v>
      </x:c>
      <x:c r="F152" s="28" t="str">
        <x:v>De quand à quand s'est déroulée la Première Guerre mondiale ?</x:v>
      </x:c>
      <x:c r="G152" s="28" t="str">
        <x:v>1939-1945.</x:v>
      </x:c>
      <x:c r="H152" s="28" t="str">
        <x:v>De 1914 à 1918.</x:v>
      </x:c>
      <x:c r="I152" s="28" t="str">
        <x:v>1789-1799.</x:v>
      </x:c>
      <x:c r="J152" s="28" t="str">
        <x:v>1918-1945.</x:v>
      </x:c>
      <x:c r="K152" s="32" t="str">
        <x:v>B</x:v>
      </x:c>
      <x:c r="L152" s="28" t="str">
        <x:v>La bonne réponse est « De 1914 à 1918 ». La Première Guerre mondiale oppose principalement les puissances alliées aux Empires centraux entre 1914 et 1918.</x:v>
      </x:c>
      <x:c r="M152" s="29" t="str">
        <x:v>1914; 1918; Première Guerre mondiale</x:v>
      </x:c>
    </x:row>
    <x:row r="153">
      <x:c r="A153" s="24" t="str">
        <x:v>MS-NAT-T4-023</x:v>
      </x:c>
      <x:c r="B153" s="25" t="str">
        <x:v>NAT-T4-023</x:v>
      </x:c>
      <x:c r="C153" s="25" t="str">
        <x:v>Histoire, géographie, patrimoine et culture</x:v>
      </x:c>
      <x:c r="D153" s="25" t="str">
        <x:v>🔴 Difficile</x:v>
      </x:c>
      <x:c r="E153" s="28" t="str">
        <x:v>Un proche prépare son entretien de naturalisation et vous demande de l’aider sur un élément du patrimoine français. Une personne hésite et choisit « Jacques Chirac ». Vous l’aidez à retrouver la règle ou le repère juste.</x:v>
      </x:c>
      <x:c r="F153" s="28" t="str">
        <x:v>Sous la présidence de qui la peine de mort a-t-elle été abolie en France, en 1981 ?</x:v>
      </x:c>
      <x:c r="G153" s="28" t="str">
        <x:v>Charles de Gaulle.</x:v>
      </x:c>
      <x:c r="H153" s="28" t="str">
        <x:v>Jacques Chirac.</x:v>
      </x:c>
      <x:c r="I153" s="28" t="str">
        <x:v>François Mitterrand.</x:v>
      </x:c>
      <x:c r="J153" s="28" t="str">
        <x:v>Valéry Giscard d'Estaing.</x:v>
      </x:c>
      <x:c r="K153" s="32" t="str">
        <x:v>C</x:v>
      </x:c>
      <x:c r="L153" s="28" t="str">
        <x:v>La bonne réponse est « François Mitterrand ». La peine de mort est abolie en 1981, sous la présidence de François Mitterrand, grâce au projet défendu par le garde des Sceaux Robert Badinter.</x:v>
      </x:c>
      <x:c r="M153" s="29" t="str">
        <x:v>François Mitterrand; Robert Badinter; 1981; Peine de mort</x:v>
      </x:c>
    </x:row>
    <x:row r="154">
      <x:c r="A154" s="24" t="str">
        <x:v>MS-NAT-T4-024</x:v>
      </x:c>
      <x:c r="B154" s="25" t="str">
        <x:v>NAT-T4-024</x:v>
      </x:c>
      <x:c r="C154" s="25" t="str">
        <x:v>Histoire, géographie, patrimoine et culture</x:v>
      </x:c>
      <x:c r="D154" s="25" t="str">
        <x:v>🔴 Difficile</x:v>
      </x:c>
      <x:c r="E154" s="28" t="str">
        <x:v>Lors d’une visite culturelle, une personne de votre entourage souhaite vérifier un repère sur l’histoire, la géographie ou le patrimoine français. Un participant propose la réponse « La Révolution française ». Vous devez vérifier cette affirmation.</x:v>
      </x:c>
      <x:c r="F154" s="28" t="str">
        <x:v>Que commémore le 8 mai, jour férié en France ?</x:v>
      </x:c>
      <x:c r="G154" s="28" t="str">
        <x:v>L'Armistice de 1918.</x:v>
      </x:c>
      <x:c r="H154" s="28" t="str">
        <x:v>Le Débarquement.</x:v>
      </x:c>
      <x:c r="I154" s="28" t="str">
        <x:v>La Révolution française.</x:v>
      </x:c>
      <x:c r="J154" s="28" t="str">
        <x:v>La victoire des Alliés sur l'Allemagne nazie en 1945.</x:v>
      </x:c>
      <x:c r="K154" s="32" t="str">
        <x:v>D</x:v>
      </x:c>
      <x:c r="L154" s="28" t="str">
        <x:v>La bonne réponse est « La victoire des Alliés sur l'Allemagne nazie en 1945 ». Le 8 mai est un jour férié en France. Il commémore la victoire des Alliés en 1945 et rend hommage aux combattants de la Seconde Guerre mondiale.</x:v>
      </x:c>
      <x:c r="M154" s="29" t="str">
        <x:v>8 mai; 1945; Victoire; Commémoration</x:v>
      </x:c>
    </x:row>
    <x:row r="155">
      <x:c r="A155" s="24" t="str">
        <x:v>MS-NAT-T4-025</x:v>
      </x:c>
      <x:c r="B155" s="25" t="str">
        <x:v>NAT-T4-025</x:v>
      </x:c>
      <x:c r="C155" s="25" t="str">
        <x:v>Histoire, géographie, patrimoine et culture</x:v>
      </x:c>
      <x:c r="D155" s="25" t="str">
        <x:v>🔴 Difficile</x:v>
      </x:c>
      <x:c r="E155" s="28" t="str">
        <x:v>Vous préparez une sortie en France et une discussion s’engage autour d’un lieu, d’une personnalité ou d’un événement important. Un proche pense que la bonne réponse pourrait être « L'Union européenne ». Aidez-le à raisonner.</x:v>
      </x:c>
      <x:c r="F155" s="28" t="str">
        <x:v>Quelle est la première étape de la construction européenne, créée en 1951 ?</x:v>
      </x:c>
      <x:c r="G155" s="28" t="str">
        <x:v>La Communauté européenne du charbon et de l'acier (CECA).</x:v>
      </x:c>
      <x:c r="H155" s="28" t="str">
        <x:v>L'Union européenne.</x:v>
      </x:c>
      <x:c r="I155" s="28" t="str">
        <x:v>Le traité de Maastricht.</x:v>
      </x:c>
      <x:c r="J155" s="28" t="str">
        <x:v>L'euro.</x:v>
      </x:c>
      <x:c r="K155" s="32" t="str">
        <x:v>A</x:v>
      </x:c>
      <x:c r="L155" s="28" t="str">
        <x:v>La bonne réponse est « La Communauté européenne du charbon et de l'acier (CECA) ». Créée en 1951, la CECA constitue la première étape de la construction européenne. Elle réunit six États fondateurs afin de favoriser la paix et la coopération économique.</x:v>
      </x:c>
      <x:c r="M155" s="29" t="str">
        <x:v>CECA; 1951; Union européenne; Construction européenne</x:v>
      </x:c>
    </x:row>
    <x:row r="156">
      <x:c r="A156" s="24" t="str">
        <x:v>MS-NAT-T4-026</x:v>
      </x:c>
      <x:c r="B156" s="25" t="str">
        <x:v>NAT-T4-026</x:v>
      </x:c>
      <x:c r="C156" s="25" t="str">
        <x:v>Histoire, géographie, patrimoine et culture</x:v>
      </x:c>
      <x:c r="D156" s="25" t="str">
        <x:v>🔴 Difficile</x:v>
      </x:c>
      <x:c r="E156" s="28" t="str">
        <x:v>Au cours d’un atelier culturel, votre groupe doit reconnaître un repère essentiel de l’histoire ou de la géographie française. Dans le groupe, la réponse « Jules Ferry » est avancée. Vous devez déterminer si elle est correcte.</x:v>
      </x:c>
      <x:c r="F156" s="28" t="str">
        <x:v>Qui a été chargé par le général de Gaulle d'unifier les mouvements de Résistance ?</x:v>
      </x:c>
      <x:c r="G156" s="28" t="str">
        <x:v>Napoléon Bonaparte.</x:v>
      </x:c>
      <x:c r="H156" s="28" t="str">
        <x:v>Jean Moulin.</x:v>
      </x:c>
      <x:c r="I156" s="28" t="str">
        <x:v>Jules Ferry.</x:v>
      </x:c>
      <x:c r="J156" s="28" t="str">
        <x:v>Louis XIV.</x:v>
      </x:c>
      <x:c r="K156" s="32" t="str">
        <x:v>B</x:v>
      </x:c>
      <x:c r="L156" s="28" t="str">
        <x:v>La bonne réponse est « Jean Moulin ». Jean Moulin est chargé par le général de Gaulle d'unifier les mouvements de Résistance. Arrêté en 1943, il meurt sous la torture sans avoir livré d'informations.</x:v>
      </x:c>
      <x:c r="M156" s="29" t="str">
        <x:v>Jean Moulin; Résistance; Seconde Guerre mondiale; Charles de Gaulle</x:v>
      </x:c>
    </x:row>
    <x:row r="157">
      <x:c r="A157" s="24" t="str">
        <x:v>MS-NAT-T4-027</x:v>
      </x:c>
      <x:c r="B157" s="25" t="str">
        <x:v>NAT-T4-027</x:v>
      </x:c>
      <x:c r="C157" s="25" t="str">
        <x:v>Histoire, géographie, patrimoine et culture</x:v>
      </x:c>
      <x:c r="D157" s="25" t="str">
        <x:v>🟡 Intermédiaire</x:v>
      </x:c>
      <x:c r="E157" s="28" t="str">
        <x:v>Un proche prépare son entretien de naturalisation et vous demande de l’aider sur un élément du patrimoine français. Une personne hésite et choisit « L'océan Atlantique ». Vous l’aidez à retrouver la règle ou le repère juste.</x:v>
      </x:c>
      <x:c r="F157" s="28" t="str">
        <x:v>Quelle mer sépare la France de l'Angleterre ?</x:v>
      </x:c>
      <x:c r="G157" s="28" t="str">
        <x:v>La mer du Nord.</x:v>
      </x:c>
      <x:c r="H157" s="28" t="str">
        <x:v>La Méditerranée.</x:v>
      </x:c>
      <x:c r="I157" s="28" t="str">
        <x:v>La Manche.</x:v>
      </x:c>
      <x:c r="J157" s="28" t="str">
        <x:v>L'océan Atlantique.</x:v>
      </x:c>
      <x:c r="K157" s="32" t="str">
        <x:v>C</x:v>
      </x:c>
      <x:c r="L157" s="28" t="str">
        <x:v>La bonne réponse est « La Manche ». La Manche sépare la France et l'Angleterre. C'est également sous cette mer que passe le tunnel sous la Manche.</x:v>
      </x:c>
      <x:c r="M157" s="29" t="str">
        <x:v>La Manche; Angleterre; France</x:v>
      </x:c>
    </x:row>
    <x:row r="158">
      <x:c r="A158" s="24" t="str">
        <x:v>MS-NAT-T4-028</x:v>
      </x:c>
      <x:c r="B158" s="25" t="str">
        <x:v>NAT-T4-028</x:v>
      </x:c>
      <x:c r="C158" s="25" t="str">
        <x:v>Histoire, géographie, patrimoine et culture</x:v>
      </x:c>
      <x:c r="D158" s="25" t="str">
        <x:v>🟡 Intermédiaire</x:v>
      </x:c>
      <x:c r="E158" s="28" t="str">
        <x:v>Lors d’une visite culturelle, une personne de votre entourage souhaite vérifier un repère sur l’histoire, la géographie ou le patrimoine français. Un participant propose la réponse « Le Débarquement ». Vous devez vérifier cette affirmation.</x:v>
      </x:c>
      <x:c r="F158" s="28" t="str">
        <x:v>Que commémore le 11 novembre, jour férié en France ?</x:v>
      </x:c>
      <x:c r="G158" s="28" t="str">
        <x:v>Le Débarquement.</x:v>
      </x:c>
      <x:c r="H158" s="28" t="str">
        <x:v>La Libération de Paris.</x:v>
      </x:c>
      <x:c r="I158" s="28" t="str">
        <x:v>Le 8 mai 1945.</x:v>
      </x:c>
      <x:c r="J158" s="28" t="str">
        <x:v>L'Armistice de la Première Guerre mondiale (1918).</x:v>
      </x:c>
      <x:c r="K158" s="32" t="str">
        <x:v>D</x:v>
      </x:c>
      <x:c r="L158" s="28" t="str">
        <x:v>La bonne réponse est « L'Armistice de la Première Guerre mondiale (1918) ». Le 11 novembre commémore l'Armistice signé en 1918, qui met fin aux combats de la Première Guerre mondiale.</x:v>
      </x:c>
      <x:c r="M158" s="29" t="str">
        <x:v>11 novembre; Armistice; 1918; Première Guerre mondiale</x:v>
      </x:c>
    </x:row>
    <x:row r="159">
      <x:c r="A159" s="24" t="str">
        <x:v>MS-NAT-T4-029</x:v>
      </x:c>
      <x:c r="B159" s="25" t="str">
        <x:v>NAT-T4-029</x:v>
      </x:c>
      <x:c r="C159" s="25" t="str">
        <x:v>Histoire, géographie, patrimoine et culture</x:v>
      </x:c>
      <x:c r="D159" s="25" t="str">
        <x:v>🟡 Intermédiaire</x:v>
      </x:c>
      <x:c r="E159" s="28" t="str">
        <x:v>Vous préparez une sortie en France et une discussion s’engage autour d’un lieu, d’une personnalité ou d’un événement important. Un proche pense que la bonne réponse pourrait être « 1804 ». Aidez-le à raisonner.</x:v>
      </x:c>
      <x:c r="F159" s="28" t="str">
        <x:v>Depuis quelle année l'esclavage est-il définitivement aboli en France ?</x:v>
      </x:c>
      <x:c r="G159" s="28" t="str">
        <x:v>Depuis 1848.</x:v>
      </x:c>
      <x:c r="H159" s="28" t="str">
        <x:v>1789.</x:v>
      </x:c>
      <x:c r="I159" s="28" t="str">
        <x:v>1804.</x:v>
      </x:c>
      <x:c r="J159" s="28" t="str">
        <x:v>1945.</x:v>
      </x:c>
      <x:c r="K159" s="32" t="str">
        <x:v>A</x:v>
      </x:c>
      <x:c r="L159" s="28" t="str">
        <x:v>La bonne réponse est « Depuis 1848 ». L'esclavage est définitivement aboli en France par le décret du 27 avril 1848.</x:v>
      </x:c>
      <x:c r="M159" s="29" t="str">
        <x:v>1848; Esclavage; Abolition</x:v>
      </x:c>
    </x:row>
    <x:row r="160">
      <x:c r="A160" s="24" t="str">
        <x:v>MS-NAT-T4-030</x:v>
      </x:c>
      <x:c r="B160" s="25" t="str">
        <x:v>NAT-T4-030</x:v>
      </x:c>
      <x:c r="C160" s="25" t="str">
        <x:v>Histoire, géographie, patrimoine et culture</x:v>
      </x:c>
      <x:c r="D160" s="25" t="str">
        <x:v>🟡 Intermédiaire</x:v>
      </x:c>
      <x:c r="E160" s="28" t="str">
        <x:v>Au cours d’un atelier culturel, votre groupe doit reconnaître un repère essentiel de l’histoire ou de la géographie française. Dans le groupe, la réponse « Victor Hugo » est avancée. Vous devez déterminer si elle est correcte.</x:v>
      </x:c>
      <x:c r="F160" s="28" t="str">
        <x:v>Qui est le principal artisan du décret de 1848 abolissant l'esclavage dans les colonies françaises ?</x:v>
      </x:c>
      <x:c r="G160" s="28" t="str">
        <x:v>Napoléon.</x:v>
      </x:c>
      <x:c r="H160" s="28" t="str">
        <x:v>Victor Schœlcher.</x:v>
      </x:c>
      <x:c r="I160" s="28" t="str">
        <x:v>Jules Ferry.</x:v>
      </x:c>
      <x:c r="J160" s="28" t="str">
        <x:v>Victor Hugo.</x:v>
      </x:c>
      <x:c r="K160" s="32" t="str">
        <x:v>B</x:v>
      </x:c>
      <x:c r="L160" s="28" t="str">
        <x:v>La bonne réponse est « Victor Schœlcher ». Victor Schœlcher est le principal artisan du décret de 1848 abolissant définitivement l'esclavage dans les colonies françaises.</x:v>
      </x:c>
      <x:c r="M160" s="29" t="str">
        <x:v>Victor Schœlcher; 1848; Esclavage; Abolition</x:v>
      </x:c>
    </x:row>
    <x:row r="161">
      <x:c r="A161" s="24" t="str">
        <x:v>MS-NAT-T4-031</x:v>
      </x:c>
      <x:c r="B161" s="25" t="str">
        <x:v>NAT-T4-031</x:v>
      </x:c>
      <x:c r="C161" s="25" t="str">
        <x:v>Histoire, géographie, patrimoine et culture</x:v>
      </x:c>
      <x:c r="D161" s="25" t="str">
        <x:v>🟡 Intermédiaire</x:v>
      </x:c>
      <x:c r="E161" s="28" t="str">
        <x:v>Un proche prépare son entretien de naturalisation et vous demande de l’aider sur un élément du patrimoine français. Une personne hésite et choisit « 1882 ». Vous l’aidez à retrouver la règle ou le repère juste.</x:v>
      </x:c>
      <x:c r="F161" s="28" t="str">
        <x:v>Depuis quelle année l'école primaire publique est-elle gratuite en France ?</x:v>
      </x:c>
      <x:c r="G161" s="28" t="str">
        <x:v>1882.</x:v>
      </x:c>
      <x:c r="H161" s="28" t="str">
        <x:v>1905.</x:v>
      </x:c>
      <x:c r="I161" s="28" t="str">
        <x:v>Depuis 1881.</x:v>
      </x:c>
      <x:c r="J161" s="28" t="str">
        <x:v>1958.</x:v>
      </x:c>
      <x:c r="K161" s="32" t="str">
        <x:v>C</x:v>
      </x:c>
      <x:c r="L161" s="28" t="str">
        <x:v>La bonne réponse est « Depuis 1881 ». La loi du 16 juin 1881 rend l'école primaire publique gratuite. En 1882, Jules Ferry rend l'instruction obligatoire et l'enseignement public laïque.</x:v>
      </x:c>
      <x:c r="M161" s="29" t="str">
        <x:v>1881; Jules Ferry; École gratuite</x:v>
      </x:c>
    </x:row>
    <x:row r="162">
      <x:c r="A162" s="24" t="str">
        <x:v>MS-NAT-T4-032</x:v>
      </x:c>
      <x:c r="B162" s="25" t="str">
        <x:v>NAT-T4-032</x:v>
      </x:c>
      <x:c r="C162" s="25" t="str">
        <x:v>Histoire, géographie, patrimoine et culture</x:v>
      </x:c>
      <x:c r="D162" s="25" t="str">
        <x:v>🟡 Intermédiaire</x:v>
      </x:c>
      <x:c r="E162" s="28" t="str">
        <x:v>Lors d’une visite culturelle, une personne de votre entourage souhaite vérifier un repère sur l’histoire, la géographie ou le patrimoine français. Un participant propose la réponse « Le Massif central ». Vous devez vérifier cette affirmation.</x:v>
      </x:c>
      <x:c r="F162" s="28" t="str">
        <x:v>Quelle chaîne de montagnes forme la frontière naturelle entre la France et l'Espagne ?</x:v>
      </x:c>
      <x:c r="G162" s="28" t="str">
        <x:v>Les Alpes.</x:v>
      </x:c>
      <x:c r="H162" s="28" t="str">
        <x:v>Le Massif central.</x:v>
      </x:c>
      <x:c r="I162" s="28" t="str">
        <x:v>Les Vosges.</x:v>
      </x:c>
      <x:c r="J162" s="28" t="str">
        <x:v>Les Pyrénées.</x:v>
      </x:c>
      <x:c r="K162" s="32" t="str">
        <x:v>D</x:v>
      </x:c>
      <x:c r="L162" s="28" t="str">
        <x:v>La bonne réponse est « Les Pyrénées ». Les Pyrénées forment la frontière naturelle entre la France et l'Espagne sur près de 430 kilomètres.</x:v>
      </x:c>
      <x:c r="M162" s="29" t="str">
        <x:v>Pyrénées; Espagne; Montagnes</x:v>
      </x:c>
    </x:row>
    <x:row r="163">
      <x:c r="A163" s="24" t="str">
        <x:v>MS-NAT-T4-033</x:v>
      </x:c>
      <x:c r="B163" s="25" t="str">
        <x:v>NAT-T4-033</x:v>
      </x:c>
      <x:c r="C163" s="25" t="str">
        <x:v>Histoire, géographie, patrimoine et culture</x:v>
      </x:c>
      <x:c r="D163" s="25" t="str">
        <x:v>🟡 Intermédiaire</x:v>
      </x:c>
      <x:c r="E163" s="28" t="str">
        <x:v>Vous préparez une sortie en France et une discussion s’engage autour d’un lieu, d’une personnalité ou d’un événement important. Un proche pense que la bonne réponse pourrait être « Elles deviennent majeures à 18 ans ». Aidez-le à raisonner.</x:v>
      </x:c>
      <x:c r="F163" s="28" t="str">
        <x:v>Qu'ont obtenu les femmes françaises grâce à l'ordonnance du 21 avril 1944 ?</x:v>
      </x:c>
      <x:c r="G163" s="28" t="str">
        <x:v>Elles ont obtenu le droit de vote.</x:v>
      </x:c>
      <x:c r="H163" s="28" t="str">
        <x:v>Elles deviennent députées automatiquement.</x:v>
      </x:c>
      <x:c r="I163" s="28" t="str">
        <x:v>Elles obtiennent le droit au divorce.</x:v>
      </x:c>
      <x:c r="J163" s="28" t="str">
        <x:v>Elles deviennent majeures à 18 ans.</x:v>
      </x:c>
      <x:c r="K163" s="32" t="str">
        <x:v>A</x:v>
      </x:c>
      <x:c r="L163" s="28" t="str">
        <x:v>La bonne réponse est « Elles ont obtenu le droit de vote ». Le 21 avril 1944, les femmes obtiennent le droit de vote et d'éligibilité. Elles votent pour la première fois lors des élections municipales de 1945.</x:v>
      </x:c>
      <x:c r="M163" s="29" t="str">
        <x:v>1944; Femmes; Droit de vote; Éligibilité</x:v>
      </x:c>
    </x:row>
    <x:row r="164">
      <x:c r="A164" s="24" t="str">
        <x:v>MS-NAT-T4-034</x:v>
      </x:c>
      <x:c r="B164" s="25" t="str">
        <x:v>NAT-T4-034</x:v>
      </x:c>
      <x:c r="C164" s="25" t="str">
        <x:v>Histoire, géographie, patrimoine et culture</x:v>
      </x:c>
      <x:c r="D164" s="25" t="str">
        <x:v>🟡 Intermédiaire</x:v>
      </x:c>
      <x:c r="E164" s="28" t="str">
        <x:v>Au cours d’un atelier culturel, votre groupe doit reconnaître un repère essentiel de l’histoire ou de la géographie française. Dans le groupe, la réponse « L'Union européenne » est avancée. Vous devez déterminer si elle est correcte.</x:v>
      </x:c>
      <x:c r="F164" s="28" t="str">
        <x:v>Quelle organisation internationale a été créée en 1945 pour maintenir la paix dans le monde ?</x:v>
      </x:c>
      <x:c r="G164" s="28" t="str">
        <x:v>L'Union européenne.</x:v>
      </x:c>
      <x:c r="H164" s="28" t="str">
        <x:v>L'Organisation des Nations unies (ONU).</x:v>
      </x:c>
      <x:c r="I164" s="28" t="str">
        <x:v>L'OTAN.</x:v>
      </x:c>
      <x:c r="J164" s="28" t="str">
        <x:v>La CECA.</x:v>
      </x:c>
      <x:c r="K164" s="32" t="str">
        <x:v>B</x:v>
      </x:c>
      <x:c r="L164" s="28" t="str">
        <x:v>La bonne réponse est « L'Organisation des Nations unies (ONU) ». L'Organisation des Nations unies (ONU) est créée en 1945 afin de maintenir la paix et favoriser la coopération internationale après la Seconde Guerre mondiale.</x:v>
      </x:c>
      <x:c r="M164" s="29" t="str">
        <x:v>ONU; 1945; Nations unies</x:v>
      </x:c>
    </x:row>
    <x:row r="165">
      <x:c r="A165" s="24" t="str">
        <x:v>MS-NAT-T4-035</x:v>
      </x:c>
      <x:c r="B165" s="25" t="str">
        <x:v>NAT-T4-035</x:v>
      </x:c>
      <x:c r="C165" s="25" t="str">
        <x:v>Histoire, géographie, patrimoine et culture</x:v>
      </x:c>
      <x:c r="D165" s="25" t="str">
        <x:v>🟡 Intermédiaire</x:v>
      </x:c>
      <x:c r="E165" s="28" t="str">
        <x:v>Un proche prépare son entretien de naturalisation et vous demande de l’aider sur un élément du patrimoine français. Une personne hésite et choisit « 1999 ». Vous l’aidez à retrouver la règle ou le repère juste.</x:v>
      </x:c>
      <x:c r="F165" s="28" t="str">
        <x:v>En quelle année les pièces et billets en euros sont-ils entrés en circulation en France ?</x:v>
      </x:c>
      <x:c r="G165" s="28" t="str">
        <x:v>1992.</x:v>
      </x:c>
      <x:c r="H165" s="28" t="str">
        <x:v>1999.</x:v>
      </x:c>
      <x:c r="I165" s="28" t="str">
        <x:v>2002.</x:v>
      </x:c>
      <x:c r="J165" s="28" t="str">
        <x:v>2000.</x:v>
      </x:c>
      <x:c r="K165" s="32" t="str">
        <x:v>C</x:v>
      </x:c>
      <x:c r="L165" s="28" t="str">
        <x:v>La bonne réponse est « 2002 ». L'euro est introduit sous forme scripturale en 1999, mais les pièces et billets entrent en circulation le 1er janvier 2002, remplaçant le franc.</x:v>
      </x:c>
      <x:c r="M165" s="29" t="str">
        <x:v>Euro; 2002; Monnaie; France</x:v>
      </x:c>
    </x:row>
    <x:row r="166">
      <x:c r="A166" s="24" t="str">
        <x:v>MS-NAT-T4-036</x:v>
      </x:c>
      <x:c r="B166" s="25" t="str">
        <x:v>NAT-T4-036</x:v>
      </x:c>
      <x:c r="C166" s="25" t="str">
        <x:v>Histoire, géographie, patrimoine et culture</x:v>
      </x:c>
      <x:c r="D166" s="25" t="str">
        <x:v>🔴 Difficile</x:v>
      </x:c>
      <x:c r="E166" s="28" t="str">
        <x:v>Lors d’une visite culturelle, une personne de votre entourage souhaite vérifier un repère sur l’histoire, la géographie ou le patrimoine français. Un participant propose la réponse « Le 11 novembre ». Vous devez vérifier cette affirmation.</x:v>
      </x:c>
      <x:c r="F166" s="28" t="str">
        <x:v>À quelle date Paris a-t-elle été libérée en 1944 ?</x:v>
      </x:c>
      <x:c r="G166" s="28" t="str">
        <x:v>Le 6 juin.</x:v>
      </x:c>
      <x:c r="H166" s="28" t="str">
        <x:v>Le 8 mai.</x:v>
      </x:c>
      <x:c r="I166" s="28" t="str">
        <x:v>Le 11 novembre.</x:v>
      </x:c>
      <x:c r="J166" s="28" t="str">
        <x:v>Le 25 août.</x:v>
      </x:c>
      <x:c r="K166" s="32" t="str">
        <x:v>D</x:v>
      </x:c>
      <x:c r="L166" s="28" t="str">
        <x:v>La bonne réponse est « Le 25 août ». Le 25 août 1944, Paris est libérée par les Forces françaises de l'intérieur et la 2ᵉ Division blindée du général Leclerc. Cet événement marque une étape majeure de la Libération de la France.</x:v>
      </x:c>
      <x:c r="M166" s="29" t="str">
        <x:v>Paris; 25 août 1944; Libération; Leclerc</x:v>
      </x:c>
    </x:row>
    <x:row r="167">
      <x:c r="A167" s="24" t="str">
        <x:v>MS-NAT-T4-037</x:v>
      </x:c>
      <x:c r="B167" s="25" t="str">
        <x:v>NAT-T4-037</x:v>
      </x:c>
      <x:c r="C167" s="25" t="str">
        <x:v>Histoire, géographie, patrimoine et culture</x:v>
      </x:c>
      <x:c r="D167" s="25" t="str">
        <x:v>🔴 Difficile</x:v>
      </x:c>
      <x:c r="E167" s="28" t="str">
        <x:v>Vous préparez une sortie en France et une discussion s’engage autour d’un lieu, d’une personnalité ou d’un événement important. Un proche pense que la bonne réponse pourrait être « Marseille ». Aidez-le à raisonner.</x:v>
      </x:c>
      <x:c r="F167" s="28" t="str">
        <x:v>Quel port français était, au XVIIIᵉ siècle, le principal port impliqué dans la traite négrière ?</x:v>
      </x:c>
      <x:c r="G167" s="28" t="str">
        <x:v>Nantes.</x:v>
      </x:c>
      <x:c r="H167" s="28" t="str">
        <x:v>Marseille.</x:v>
      </x:c>
      <x:c r="I167" s="28" t="str">
        <x:v>Bordeaux.</x:v>
      </x:c>
      <x:c r="J167" s="28" t="str">
        <x:v>Le Havre.</x:v>
      </x:c>
      <x:c r="K167" s="32" t="str">
        <x:v>A</x:v>
      </x:c>
      <x:c r="L167" s="28" t="str">
        <x:v>La bonne réponse est « Nantes ». Au XVIIIᵉ siècle, Nantes est le principal port français impliqué dans la traite négrière. Cette histoire est aujourd'hui reconnue et fait l'objet d'un important travail de mémoire.</x:v>
      </x:c>
      <x:c r="M167" s="29" t="str">
        <x:v>Nantes; Traite négrière; Esclavage</x:v>
      </x:c>
    </x:row>
    <x:row r="168">
      <x:c r="A168" s="24" t="str">
        <x:v>MS-NAT-T4-038</x:v>
      </x:c>
      <x:c r="B168" s="25" t="str">
        <x:v>NAT-T4-038</x:v>
      </x:c>
      <x:c r="C168" s="25" t="str">
        <x:v>Histoire, géographie, patrimoine et culture</x:v>
      </x:c>
      <x:c r="D168" s="25" t="str">
        <x:v>🔴 Difficile</x:v>
      </x:c>
      <x:c r="E168" s="28" t="str">
        <x:v>Au cours d’un atelier culturel, votre groupe doit reconnaître un repère essentiel de l’histoire ou de la géographie française. Dans le groupe, la réponse « Montesquieu » est avancée. Vous devez déterminer si elle est correcte.</x:v>
      </x:c>
      <x:c r="F168" s="28" t="str">
        <x:v>Quel philosophe des Lumières est identifié, dans cette question, comme ayant critiqué l'esclavage et défendu la liberté et la tolérance ?</x:v>
      </x:c>
      <x:c r="G168" s="28" t="str">
        <x:v>Rousseau.</x:v>
      </x:c>
      <x:c r="H168" s="28" t="str">
        <x:v>Voltaire.</x:v>
      </x:c>
      <x:c r="I168" s="28" t="str">
        <x:v>Montesquieu.</x:v>
      </x:c>
      <x:c r="J168" s="28" t="str">
        <x:v>Diderot.</x:v>
      </x:c>
      <x:c r="K168" s="32" t="str">
        <x:v>B</x:v>
      </x:c>
      <x:c r="L168" s="28" t="str">
        <x:v>La bonne réponse est « Voltaire ». Voltaire est l'une des grandes figures du siècle des Lumières. Il critique l'esclavage et défend les idées de liberté, de tolérance et de justice. Plusieurs philosophes des Lumières ont critiqué l'esclavage, mais la réponse officiellement attendue pour cet examen est Voltaire.</x:v>
      </x:c>
      <x:c r="M168" s="29" t="str">
        <x:v>Voltaire; Lumières; Esclavage</x:v>
      </x:c>
    </x:row>
    <x:row r="169">
      <x:c r="A169" s="24" t="str">
        <x:v>MS-NAT-T4-039</x:v>
      </x:c>
      <x:c r="B169" s="25" t="str">
        <x:v>NAT-T4-039</x:v>
      </x:c>
      <x:c r="C169" s="25" t="str">
        <x:v>Histoire, géographie, patrimoine et culture</x:v>
      </x:c>
      <x:c r="D169" s="25" t="str">
        <x:v>🔴 Difficile</x:v>
      </x:c>
      <x:c r="E169" s="28" t="str">
        <x:v>Un proche prépare son entretien de naturalisation et vous demande de l’aider sur un élément du patrimoine français. Une personne hésite et choisit « Vincent Van Gogh ». Vous l’aidez à retrouver la règle ou le repère juste.</x:v>
      </x:c>
      <x:c r="F169" s="28" t="str">
        <x:v>Lequel de ces peintres est français ?</x:v>
      </x:c>
      <x:c r="G169" s="28" t="str">
        <x:v>Pablo Picasso.</x:v>
      </x:c>
      <x:c r="H169" s="28" t="str">
        <x:v>Léonard de Vinci.</x:v>
      </x:c>
      <x:c r="I169" s="28" t="str">
        <x:v>Claude Monet.</x:v>
      </x:c>
      <x:c r="J169" s="28" t="str">
        <x:v>Vincent Van Gogh.</x:v>
      </x:c>
      <x:c r="K169" s="32" t="str">
        <x:v>C</x:v>
      </x:c>
      <x:c r="L169" s="28" t="str">
        <x:v>La bonne réponse est « Claude Monet ». La France compte de nombreux peintres mondialement connus, notamment les impressionnistes comme Claude Monet, Auguste Renoir ou Edgar Degas.</x:v>
      </x:c>
      <x:c r="M169" s="29" t="str">
        <x:v>Peinture; Monet; Renoir; Cézanne</x:v>
      </x:c>
    </x:row>
    <x:row r="170">
      <x:c r="A170" s="24" t="str">
        <x:v>MS-NAT-T4-040</x:v>
      </x:c>
      <x:c r="B170" s="25" t="str">
        <x:v>NAT-T4-040</x:v>
      </x:c>
      <x:c r="C170" s="25" t="str">
        <x:v>Histoire, géographie, patrimoine et culture</x:v>
      </x:c>
      <x:c r="D170" s="25" t="str">
        <x:v>🔴 Difficile</x:v>
      </x:c>
      <x:c r="E170" s="28" t="str">
        <x:v>Lors d’une visite culturelle, une personne de votre entourage souhaite vérifier un repère sur l’histoire, la géographie ou le patrimoine français. Un participant propose la réponse « Pizza ». Vous devez vérifier cette affirmation.</x:v>
      </x:c>
      <x:c r="F170" s="28" t="str">
        <x:v>Laquelle de ces spécialités est un plat traditionnel français ?</x:v>
      </x:c>
      <x:c r="G170" s="28" t="str">
        <x:v>Pizza.</x:v>
      </x:c>
      <x:c r="H170" s="28" t="str">
        <x:v>Sushi.</x:v>
      </x:c>
      <x:c r="I170" s="28" t="str">
        <x:v>Paella.</x:v>
      </x:c>
      <x:c r="J170" s="28" t="str">
        <x:v>Le cassoulet.</x:v>
      </x:c>
      <x:c r="K170" s="32" t="str">
        <x:v>D</x:v>
      </x:c>
      <x:c r="L170" s="28" t="str">
        <x:v>La bonne réponse est « Le cassoulet ». La gastronomie est un élément important du patrimoine français. Elle est reconnue par l'UNESCO à travers le repas gastronomique des Français, inscrit au patrimoine culturel immatériel de l'humanité.</x:v>
      </x:c>
      <x:c r="M170" s="29" t="str">
        <x:v>Cuisine; Gastronomie; Patrimoine; France</x:v>
      </x:c>
    </x:row>
    <x:row r="171">
      <x:c r="A171" s="24" t="str">
        <x:v>MS-NAT-T4-041</x:v>
      </x:c>
      <x:c r="B171" s="25" t="str">
        <x:v>NAT-T4-041</x:v>
      </x:c>
      <x:c r="C171" s="25" t="str">
        <x:v>Histoire, géographie, patrimoine et culture</x:v>
      </x:c>
      <x:c r="D171" s="25" t="str">
        <x:v>🔴 Difficile</x:v>
      </x:c>
      <x:c r="E171" s="28" t="str">
        <x:v>Vous préparez une sortie en France et une discussion s’engage autour d’un lieu, d’une personnalité ou d’un événement important. Un proche pense que la bonne réponse pourrait être « Une reine de France ». Aidez-le à raisonner.</x:v>
      </x:c>
      <x:c r="F171" s="28" t="str">
        <x:v>Qui était Marie Curie ?</x:v>
      </x:c>
      <x:c r="G171" s="28" t="str">
        <x:v>Une scientifique franco-polonaise, double prix Nobel.</x:v>
      </x:c>
      <x:c r="H171" s="28" t="str">
        <x:v>Une écrivaine.</x:v>
      </x:c>
      <x:c r="I171" s="28" t="str">
        <x:v>Une reine de France.</x:v>
      </x:c>
      <x:c r="J171" s="28" t="str">
        <x:v>Une peintre.</x:v>
      </x:c>
      <x:c r="K171" s="32" t="str">
        <x:v>A</x:v>
      </x:c>
      <x:c r="L171" s="28" t="str">
        <x:v>La bonne réponse est « Une scientifique franco-polonaise, double prix Nobel ». Marie Curie est l'une des plus grandes scientifiques de l'histoire. Elle est la première femme à recevoir un prix Nobel et la seule personne à avoir obtenu deux prix Nobel dans deux disciplines scientifiques différentes (physique et chimie).</x:v>
      </x:c>
      <x:c r="M171" s="29" t="str">
        <x:v>Marie Curie; Prix Nobel; Radioactivité; Science</x:v>
      </x:c>
    </x:row>
    <x:row r="172">
      <x:c r="A172" s="24" t="str">
        <x:v>MS-NAT-T4-042</x:v>
      </x:c>
      <x:c r="B172" s="25" t="str">
        <x:v>NAT-T4-042</x:v>
      </x:c>
      <x:c r="C172" s="25" t="str">
        <x:v>Histoire, géographie, patrimoine et culture</x:v>
      </x:c>
      <x:c r="D172" s="25" t="str">
        <x:v>🔴 Difficile</x:v>
      </x:c>
      <x:c r="E172" s="28" t="str">
        <x:v>Au cours d’un atelier culturel, votre groupe doit reconnaître un repère essentiel de l’histoire ou de la géographie française. Dans le groupe, la réponse « Paul Cézanne » est avancée. Vous devez déterminer si elle est correcte.</x:v>
      </x:c>
      <x:c r="F172" s="28" t="str">
        <x:v>Qui a peint « La Liberté guidant le peuple » en 1830 ?</x:v>
      </x:c>
      <x:c r="G172" s="28" t="str">
        <x:v>Claude Monet.</x:v>
      </x:c>
      <x:c r="H172" s="28" t="str">
        <x:v>Eugène Delacroix.</x:v>
      </x:c>
      <x:c r="I172" s="28" t="str">
        <x:v>Auguste Renoir.</x:v>
      </x:c>
      <x:c r="J172" s="28" t="str">
        <x:v>Paul Cézanne.</x:v>
      </x:c>
      <x:c r="K172" s="32" t="str">
        <x:v>B</x:v>
      </x:c>
      <x:c r="L172" s="28" t="str">
        <x:v>La bonne réponse est « Eugène Delacroix ». « La Liberté guidant le peuple », peinte par Eugène Delacroix en 1830, est devenue un symbole de la République et de la liberté.</x:v>
      </x:c>
      <x:c r="M172" s="29" t="str">
        <x:v>Delacroix; Liberté guidant le peuple; Peinture</x:v>
      </x:c>
    </x:row>
    <x:row r="173">
      <x:c r="A173" s="24" t="str">
        <x:v>MS-NAT-T4-043</x:v>
      </x:c>
      <x:c r="B173" s="25" t="str">
        <x:v>NAT-T4-043</x:v>
      </x:c>
      <x:c r="C173" s="25" t="str">
        <x:v>Histoire, géographie, patrimoine et culture</x:v>
      </x:c>
      <x:c r="D173" s="25" t="str">
        <x:v>🟢 Facile</x:v>
      </x:c>
      <x:c r="E173" s="28" t="str">
        <x:v>Un proche prépare son entretien de naturalisation et vous demande de l’aider sur un élément du patrimoine français. Une personne hésite et choisit « Le musée d'Orsay ». Vous l’aidez à retrouver la règle ou le repère juste.</x:v>
      </x:c>
      <x:c r="F173" s="28" t="str">
        <x:v>Où est exposée la Joconde de Léonard de Vinci ?</x:v>
      </x:c>
      <x:c r="G173" s="28" t="str">
        <x:v>Le musée d'Orsay.</x:v>
      </x:c>
      <x:c r="H173" s="28" t="str">
        <x:v>Le Centre Pompidou.</x:v>
      </x:c>
      <x:c r="I173" s="28" t="str">
        <x:v>Le musée du Louvre.</x:v>
      </x:c>
      <x:c r="J173" s="28" t="str">
        <x:v>Le château de Versailles.</x:v>
      </x:c>
      <x:c r="K173" s="32" t="str">
        <x:v>C</x:v>
      </x:c>
      <x:c r="L173" s="28" t="str">
        <x:v>La bonne réponse est « Le musée du Louvre ». La Joconde, peinte par Léonard de Vinci, est exposée au musée du Louvre, le plus grand musée de France et l'un des plus célèbres au monde.</x:v>
      </x:c>
      <x:c r="M173" s="29" t="str">
        <x:v>Louvre; Joconde; Paris</x:v>
      </x:c>
    </x:row>
    <x:row r="174">
      <x:c r="A174" s="24" t="str">
        <x:v>MS-NAT-T4-044</x:v>
      </x:c>
      <x:c r="B174" s="25" t="str">
        <x:v>NAT-T4-044</x:v>
      </x:c>
      <x:c r="C174" s="25" t="str">
        <x:v>Histoire, géographie, patrimoine et culture</x:v>
      </x:c>
      <x:c r="D174" s="25" t="str">
        <x:v>🟡 Intermédiaire</x:v>
      </x:c>
      <x:c r="E174" s="28" t="str">
        <x:v>Lors d’une visite culturelle, une personne de votre entourage souhaite vérifier un repère sur l’histoire, la géographie ou le patrimoine français. Un participant propose la réponse « Chambord ». Vous devez vérifier cette affirmation.</x:v>
      </x:c>
      <x:c r="F174" s="28" t="str">
        <x:v>Quel monument est la résidence royale développée par Louis XIV, le Roi-Soleil ?</x:v>
      </x:c>
      <x:c r="G174" s="28" t="str">
        <x:v>Fontainebleau.</x:v>
      </x:c>
      <x:c r="H174" s="28" t="str">
        <x:v>Chambord.</x:v>
      </x:c>
      <x:c r="I174" s="28" t="str">
        <x:v>Le Louvre.</x:v>
      </x:c>
      <x:c r="J174" s="28" t="str">
        <x:v>Le château de Versailles.</x:v>
      </x:c>
      <x:c r="K174" s="32" t="str">
        <x:v>D</x:v>
      </x:c>
      <x:c r="L174" s="28" t="str">
        <x:v>La bonne réponse est « Le château de Versailles ». Le château de Versailles est la résidence royale développée par Louis XIV, le Roi-Soleil. Il est aujourd'hui l'un des monuments les plus visités de France.</x:v>
      </x:c>
      <x:c r="M174" s="29" t="str">
        <x:v>Versailles; Louis XIV; Roi-Soleil</x:v>
      </x:c>
    </x:row>
    <x:row r="175">
      <x:c r="A175" s="24" t="str">
        <x:v>MS-NAT-T4-045</x:v>
      </x:c>
      <x:c r="B175" s="25" t="str">
        <x:v>NAT-T4-045</x:v>
      </x:c>
      <x:c r="C175" s="25" t="str">
        <x:v>Histoire, géographie, patrimoine et culture</x:v>
      </x:c>
      <x:c r="D175" s="25" t="str">
        <x:v>🔴 Difficile</x:v>
      </x:c>
      <x:c r="E175" s="28" t="str">
        <x:v>Vous préparez une sortie en France et une discussion s’engage autour d’un lieu, d’une personnalité ou d’un événement important. Un proche pense que la bonne réponse pourrait être « Au Mont-Saint-Michel ». Aidez-le à raisonner.</x:v>
      </x:c>
      <x:c r="F175" s="28" t="str">
        <x:v>Où se trouvent les célèbres peintures rupestres préhistoriques vieilles d'environ 17 000 ans ?</x:v>
      </x:c>
      <x:c r="G175" s="28" t="str">
        <x:v>Dans la grotte de Lascaux.</x:v>
      </x:c>
      <x:c r="H175" s="28" t="str">
        <x:v>Au Louvre.</x:v>
      </x:c>
      <x:c r="I175" s="28" t="str">
        <x:v>À Versailles.</x:v>
      </x:c>
      <x:c r="J175" s="28" t="str">
        <x:v>Au Mont-Saint-Michel.</x:v>
      </x:c>
      <x:c r="K175" s="32" t="str">
        <x:v>A</x:v>
      </x:c>
      <x:c r="L175" s="28" t="str">
        <x:v>La bonne réponse est « Dans la grotte de Lascaux ». La grotte de Lascaux, en Dordogne, est célèbre pour ses peintures rupestres datant d'environ 17 000 ans. Elle constitue l'un des plus grands témoignages de l'art préhistorique.</x:v>
      </x:c>
      <x:c r="M175" s="29" t="str">
        <x:v>Lascaux; Préhistoire; Patrimoine</x:v>
      </x:c>
    </x:row>
    <x:row r="176">
      <x:c r="A176" s="24" t="str">
        <x:v>MS-NAT-T4-046</x:v>
      </x:c>
      <x:c r="B176" s="25" t="str">
        <x:v>NAT-T4-046</x:v>
      </x:c>
      <x:c r="C176" s="25" t="str">
        <x:v>Histoire, géographie, patrimoine et culture</x:v>
      </x:c>
      <x:c r="D176" s="25" t="str">
        <x:v>🔴 Difficile</x:v>
      </x:c>
      <x:c r="E176" s="28" t="str">
        <x:v>Au cours d’un atelier culturel, votre groupe doit reconnaître un repère essentiel de l’histoire ou de la géographie française. Dans le groupe, la réponse « Renoir » est avancée. Vous devez déterminer si elle est correcte.</x:v>
      </x:c>
      <x:c r="F176" s="28" t="str">
        <x:v>Qui a peint la célèbre série des Nymphéas ?</x:v>
      </x:c>
      <x:c r="G176" s="28" t="str">
        <x:v>Renoir.</x:v>
      </x:c>
      <x:c r="H176" s="28" t="str">
        <x:v>Claude Monet.</x:v>
      </x:c>
      <x:c r="I176" s="28" t="str">
        <x:v>Cézanne.</x:v>
      </x:c>
      <x:c r="J176" s="28" t="str">
        <x:v>Delacroix.</x:v>
      </x:c>
      <x:c r="K176" s="32" t="str">
        <x:v>B</x:v>
      </x:c>
      <x:c r="L176" s="28" t="str">
        <x:v>La bonne réponse est « Claude Monet ». Les Nymphéas sont une série de tableaux réalisés par Claude Monet, l'un des principaux représentants de l'impressionnisme. Une grande partie est exposée au musée de l'Orangerie à Paris.</x:v>
      </x:c>
      <x:c r="M176" s="29" t="str">
        <x:v>Claude Monet; Nymphéas; Impressionnisme</x:v>
      </x:c>
    </x:row>
    <x:row r="177">
      <x:c r="A177" s="24" t="str">
        <x:v>MS-NAT-T4-047</x:v>
      </x:c>
      <x:c r="B177" s="25" t="str">
        <x:v>NAT-T4-047</x:v>
      </x:c>
      <x:c r="C177" s="25" t="str">
        <x:v>Histoire, géographie, patrimoine et culture</x:v>
      </x:c>
      <x:c r="D177" s="25" t="str">
        <x:v>🔴 Difficile</x:v>
      </x:c>
      <x:c r="E177" s="28" t="str">
        <x:v>Un proche prépare son entretien de naturalisation et vous demande de l’aider sur un élément du patrimoine français. Une personne hésite et choisit « La Nuit des musées ». Vous l’aidez à retrouver la règle ou le repère juste.</x:v>
      </x:c>
      <x:c r="F177" s="28" t="str">
        <x:v>Quel événement permet chaque année de visiter gratuitement de nombreux monuments habituellement payants ?</x:v>
      </x:c>
      <x:c r="G177" s="28" t="str">
        <x:v>Le 14 juillet.</x:v>
      </x:c>
      <x:c r="H177" s="28" t="str">
        <x:v>La Nuit des musées.</x:v>
      </x:c>
      <x:c r="I177" s="28" t="str">
        <x:v>Les Journées européennes du patrimoine.</x:v>
      </x:c>
      <x:c r="J177" s="28" t="str">
        <x:v>Les vacances scolaires.</x:v>
      </x:c>
      <x:c r="K177" s="32" t="str">
        <x:v>C</x:v>
      </x:c>
      <x:c r="L177" s="28" t="str">
        <x:v>La bonne réponse est « Les Journées européennes du patrimoine ». Chaque année, les Journées européennes du patrimoine ouvrent gratuitement au public des milliers de monuments, musées et bâtiments habituellement fermés ou payants.</x:v>
      </x:c>
      <x:c r="M177" s="29" t="str">
        <x:v>Patrimoine; Culture; Monuments; Septembre</x:v>
      </x:c>
    </x:row>
    <x:row r="178">
      <x:c r="A178" s="24" t="str">
        <x:v>MS-NAT-T4-048</x:v>
      </x:c>
      <x:c r="B178" s="25" t="str">
        <x:v>NAT-T4-048</x:v>
      </x:c>
      <x:c r="C178" s="25" t="str">
        <x:v>Histoire, géographie, patrimoine et culture</x:v>
      </x:c>
      <x:c r="D178" s="25" t="str">
        <x:v>🔴 Difficile</x:v>
      </x:c>
      <x:c r="E178" s="28" t="str">
        <x:v>Lors d’une visite culturelle, une personne de votre entourage souhaite vérifier un repère sur l’histoire, la géographie ou le patrimoine français. Un participant propose la réponse « L'Armistice ». Vous devez vérifier cette affirmation.</x:v>
      </x:c>
      <x:c r="F178" s="28" t="str">
        <x:v>Que célèbre-t-on le 1er mai en France ?</x:v>
      </x:c>
      <x:c r="G178" s="28" t="str">
        <x:v>La fête nationale.</x:v>
      </x:c>
      <x:c r="H178" s="28" t="str">
        <x:v>La Libération.</x:v>
      </x:c>
      <x:c r="I178" s="28" t="str">
        <x:v>L'Armistice.</x:v>
      </x:c>
      <x:c r="J178" s="28" t="str">
        <x:v>La fête du Travail.</x:v>
      </x:c>
      <x:c r="K178" s="32" t="str">
        <x:v>D</x:v>
      </x:c>
      <x:c r="L178" s="28" t="str">
        <x:v>La bonne réponse est « La fête du Travail ». Le 1er mai est la fête du Travail. C'est un jour férié en France, associé aux droits des travailleurs. Il est également traditionnel d'offrir du muguet ce jour-là.</x:v>
      </x:c>
      <x:c r="M178" s="29" t="str">
        <x:v>1er mai; Travail; Muguet; Jour férié</x:v>
      </x:c>
    </x:row>
    <x:row r="179">
      <x:c r="A179" s="24" t="str">
        <x:v>MS-NAT-T4-049</x:v>
      </x:c>
      <x:c r="B179" s="25" t="str">
        <x:v>NAT-T4-049</x:v>
      </x:c>
      <x:c r="C179" s="25" t="str">
        <x:v>Histoire, géographie, patrimoine et culture</x:v>
      </x:c>
      <x:c r="D179" s="25" t="str">
        <x:v>🔴 Difficile</x:v>
      </x:c>
      <x:c r="E179" s="28" t="str">
        <x:v>Vous préparez une sortie en France et une discussion s’engage autour d’un lieu, d’une personnalité ou d’un événement important. Un proche pense que la bonne réponse pourrait être « Victor Hugo ». Aidez-le à raisonner.</x:v>
      </x:c>
      <x:c r="F179" s="28" t="str">
        <x:v>Qui est l'auteur de la Marseillaise ?</x:v>
      </x:c>
      <x:c r="G179" s="28" t="str">
        <x:v>Claude Joseph Rouget de Lisle.</x:v>
      </x:c>
      <x:c r="H179" s="28" t="str">
        <x:v>Victor Hugo.</x:v>
      </x:c>
      <x:c r="I179" s="28" t="str">
        <x:v>Beethoven.</x:v>
      </x:c>
      <x:c r="J179" s="28" t="str">
        <x:v>Napoléon.</x:v>
      </x:c>
      <x:c r="K179" s="32" t="str">
        <x:v>A</x:v>
      </x:c>
      <x:c r="L179" s="28" t="str">
        <x:v>La bonne réponse est « Claude Joseph Rouget de Lisle ». Claude Joseph Rouget de Lisle compose La Marseillaise en 1792. Ce chant révolutionnaire devient ensuite l'hymne national de la République française.</x:v>
      </x:c>
      <x:c r="M179" s="29" t="str">
        <x:v>Rouget de Lisle; Marseillaise; Hymne national; 1792</x:v>
      </x:c>
    </x:row>
    <x:row r="180">
      <x:c r="A180" s="24" t="str">
        <x:v>MS-NAT-T4-050</x:v>
      </x:c>
      <x:c r="B180" s="25" t="str">
        <x:v>NAT-T4-050</x:v>
      </x:c>
      <x:c r="C180" s="25" t="str">
        <x:v>Histoire, géographie, patrimoine et culture</x:v>
      </x:c>
      <x:c r="D180" s="25" t="str">
        <x:v>🔴 Difficile</x:v>
      </x:c>
      <x:c r="E180" s="28" t="str">
        <x:v>Au cours d’un atelier culturel, votre groupe doit reconnaître un repère essentiel de l’histoire ou de la géographie française. Dans le groupe, la réponse « La Révolution française » est avancée. Vous devez déterminer si elle est correcte.</x:v>
      </x:c>
      <x:c r="F180" s="28" t="str">
        <x:v>Pour quel événement la tour Eiffel a-t-elle été construite en 1889 ?</x:v>
      </x:c>
      <x:c r="G180" s="28" t="str">
        <x:v>Les Jeux olympiques.</x:v>
      </x:c>
      <x:c r="H180" s="28" t="str">
        <x:v>L'Exposition universelle.</x:v>
      </x:c>
      <x:c r="I180" s="28" t="str">
        <x:v>La Révolution française.</x:v>
      </x:c>
      <x:c r="J180" s="28" t="str">
        <x:v>La Première Guerre mondiale.</x:v>
      </x:c>
      <x:c r="K180" s="32" t="str">
        <x:v>B</x:v>
      </x:c>
      <x:c r="L180" s="28" t="str">
        <x:v>La bonne réponse est « L'Exposition universelle ». La Tour Eiffel, inaugurée en 1889, est construite pour l'Exposition universelle organisée à Paris à l'occasion du centenaire de la Révolution française.</x:v>
      </x:c>
      <x:c r="M180" s="29" t="str">
        <x:v>Tour Eiffel; 1889; Exposition universelle; Paris</x:v>
      </x:c>
    </x:row>
    <x:row r="181">
      <x:c r="A181" s="24" t="str">
        <x:v>MS-NAT-T4-051</x:v>
      </x:c>
      <x:c r="B181" s="25" t="str">
        <x:v>NAT-T4-051</x:v>
      </x:c>
      <x:c r="C181" s="25" t="str">
        <x:v>Histoire, géographie, patrimoine et culture</x:v>
      </x:c>
      <x:c r="D181" s="25" t="str">
        <x:v>🔴 Difficile</x:v>
      </x:c>
      <x:c r="E181" s="28" t="str">
        <x:v>Un proche prépare son entretien de naturalisation et vous demande de l’aider sur un élément du patrimoine français. Une personne hésite et choisit « Les Vosges ». Vous l’aidez à retrouver la règle ou le repère juste.</x:v>
      </x:c>
      <x:c r="F181" s="28" t="str">
        <x:v>Quelle chaîne de montagnes forme une frontière naturelle entre la France et l'Italie et abrite le Mont Blanc ?</x:v>
      </x:c>
      <x:c r="G181" s="28" t="str">
        <x:v>Les Pyrénées.</x:v>
      </x:c>
      <x:c r="H181" s="28" t="str">
        <x:v>Le Massif central.</x:v>
      </x:c>
      <x:c r="I181" s="28" t="str">
        <x:v>Les Alpes.</x:v>
      </x:c>
      <x:c r="J181" s="28" t="str">
        <x:v>Les Vosges.</x:v>
      </x:c>
      <x:c r="K181" s="32" t="str">
        <x:v>C</x:v>
      </x:c>
      <x:c r="L181" s="28" t="str">
        <x:v>La bonne réponse est « Les Alpes ». Les Alpes forment une frontière naturelle entre la France et l'Italie. Elles abritent le Mont Blanc, point culminant de la France.</x:v>
      </x:c>
      <x:c r="M181" s="29" t="str">
        <x:v>Alpes; Italie; Montagnes; Mont Blanc</x:v>
      </x:c>
    </x:row>
    <x:row r="182">
      <x:c r="A182" s="24" t="str">
        <x:v>MS-NAT-T4-052</x:v>
      </x:c>
      <x:c r="B182" s="25" t="str">
        <x:v>NAT-T4-052</x:v>
      </x:c>
      <x:c r="C182" s="25" t="str">
        <x:v>Histoire, géographie, patrimoine et culture</x:v>
      </x:c>
      <x:c r="D182" s="25" t="str">
        <x:v>🔴 Difficile</x:v>
      </x:c>
      <x:c r="E182" s="28" t="str">
        <x:v>Lors d’une visite culturelle, une personne de votre entourage souhaite vérifier un repère sur l’histoire, la géographie ou le patrimoine français. Un participant propose la réponse « Un peintre ». Vous devez vérifier cette affirmation.</x:v>
      </x:c>
      <x:c r="F182" s="28" t="str">
        <x:v>Qui était Molière ?</x:v>
      </x:c>
      <x:c r="G182" s="28" t="str">
        <x:v>Un peintre.</x:v>
      </x:c>
      <x:c r="H182" s="28" t="str">
        <x:v>Un roi.</x:v>
      </x:c>
      <x:c r="I182" s="28" t="str">
        <x:v>Un scientifique.</x:v>
      </x:c>
      <x:c r="J182" s="28" t="str">
        <x:v>Un dramaturge et comédien français.</x:v>
      </x:c>
      <x:c r="K182" s="32" t="str">
        <x:v>D</x:v>
      </x:c>
      <x:c r="L182" s="28" t="str">
        <x:v>La bonne réponse est « Un dramaturge et comédien français ». Molière (Jean-Baptiste Poquelin) est l'auteur de nombreuses comédies célèbres comme Le Misanthrope, L'Avare ou Le Bourgeois gentilhomme.</x:v>
      </x:c>
      <x:c r="M182" s="29" t="str">
        <x:v>Molière; Théâtre; Dramaturge</x:v>
      </x:c>
    </x:row>
    <x:row r="183">
      <x:c r="A183" s="24" t="str">
        <x:v>MS-NAT-T4-053</x:v>
      </x:c>
      <x:c r="B183" s="25" t="str">
        <x:v>NAT-T4-053</x:v>
      </x:c>
      <x:c r="C183" s="25" t="str">
        <x:v>Histoire, géographie, patrimoine et culture</x:v>
      </x:c>
      <x:c r="D183" s="25" t="str">
        <x:v>🔴 Difficile</x:v>
      </x:c>
      <x:c r="E183" s="28" t="str">
        <x:v>Vous préparez une sortie en France et une discussion s’engage autour d’un lieu, d’une personnalité ou d’un événement important. Un proche pense que la bonne réponse pourrait être « Un musicien ». Aidez-le à raisonner.</x:v>
      </x:c>
      <x:c r="F183" s="28" t="str">
        <x:v>Qui était Charles Baudelaire, auteur des Fleurs du mal ?</x:v>
      </x:c>
      <x:c r="G183" s="28" t="str">
        <x:v>Un poète français.</x:v>
      </x:c>
      <x:c r="H183" s="28" t="str">
        <x:v>Un peintre.</x:v>
      </x:c>
      <x:c r="I183" s="28" t="str">
        <x:v>Un musicien.</x:v>
      </x:c>
      <x:c r="J183" s="28" t="str">
        <x:v>Un homme politique.</x:v>
      </x:c>
      <x:c r="K183" s="32" t="str">
        <x:v>A</x:v>
      </x:c>
      <x:c r="L183" s="28" t="str">
        <x:v>La bonne réponse est « Un poète français ». Charles Baudelaire est l'un des plus grands poètes français du XIXᵉ siècle. Son œuvre la plus célèbre est Les Fleurs du mal.</x:v>
      </x:c>
      <x:c r="M183" s="29" t="str">
        <x:v>Baudelaire; Poésie; Les Fleurs du mal</x:v>
      </x:c>
    </x:row>
    <x:row r="184">
      <x:c r="A184" s="24" t="str">
        <x:v>MS-NAT-T4-054</x:v>
      </x:c>
      <x:c r="B184" s="25" t="str">
        <x:v>NAT-T4-054</x:v>
      </x:c>
      <x:c r="C184" s="25" t="str">
        <x:v>Histoire, géographie, patrimoine et culture</x:v>
      </x:c>
      <x:c r="D184" s="25" t="str">
        <x:v>🔴 Difficile</x:v>
      </x:c>
      <x:c r="E184" s="28" t="str">
        <x:v>Au cours d’un atelier culturel, votre groupe doit reconnaître un repère essentiel de l’histoire ou de la géographie française. Dans le groupe, la réponse « Une reine » est avancée. Vous devez déterminer si elle est correcte.</x:v>
      </x:c>
      <x:c r="F184" s="28" t="str">
        <x:v>Qui était George Sand ?</x:v>
      </x:c>
      <x:c r="G184" s="28" t="str">
        <x:v>Une peintre.</x:v>
      </x:c>
      <x:c r="H184" s="28" t="str">
        <x:v>Une écrivaine française.</x:v>
      </x:c>
      <x:c r="I184" s="28" t="str">
        <x:v>Une scientifique.</x:v>
      </x:c>
      <x:c r="J184" s="28" t="str">
        <x:v>Une reine.</x:v>
      </x:c>
      <x:c r="K184" s="32" t="str">
        <x:v>B</x:v>
      </x:c>
      <x:c r="L184" s="28" t="str">
        <x:v>La bonne réponse est « Une écrivaine française ». George Sand, de son vrai nom Aurore Dupin, est une grande romancière française du XIXᵉ siècle. Elle est connue pour son engagement en faveur de la liberté et de l'égalité.</x:v>
      </x:c>
      <x:c r="M184" s="29" t="str">
        <x:v>George Sand; Romancière; Littérature</x:v>
      </x:c>
    </x:row>
    <x:row r="185">
      <x:c r="A185" s="24" t="str">
        <x:v>MS-NAT-T4-055</x:v>
      </x:c>
      <x:c r="B185" s="25" t="str">
        <x:v>NAT-T4-055</x:v>
      </x:c>
      <x:c r="C185" s="25" t="str">
        <x:v>Histoire, géographie, patrimoine et culture</x:v>
      </x:c>
      <x:c r="D185" s="25" t="str">
        <x:v>🔴 Difficile</x:v>
      </x:c>
      <x:c r="E185" s="28" t="str">
        <x:v>Un proche prépare son entretien de naturalisation et vous demande de l’aider sur un élément du patrimoine français. Une personne hésite et choisit « Une scientifique ». Vous l’aidez à retrouver la règle ou le repère juste.</x:v>
      </x:c>
      <x:c r="F185" s="28" t="str">
        <x:v>Qui était Simone de Beauvoir, autrice du Deuxième Sexe ?</x:v>
      </x:c>
      <x:c r="G185" s="28" t="str">
        <x:v>Une scientifique.</x:v>
      </x:c>
      <x:c r="H185" s="28" t="str">
        <x:v>Une reine.</x:v>
      </x:c>
      <x:c r="I185" s="28" t="str">
        <x:v>Une philosophe et écrivaine française.</x:v>
      </x:c>
      <x:c r="J185" s="28" t="str">
        <x:v>Une peintre.</x:v>
      </x:c>
      <x:c r="K185" s="32" t="str">
        <x:v>C</x:v>
      </x:c>
      <x:c r="L185" s="28" t="str">
        <x:v>La bonne réponse est « Une philosophe et écrivaine française ». Simone de Beauvoir est une philosophe, écrivaine et essayiste française. Son ouvrage Le Deuxième Sexe est une référence majeure dans l'histoire du féminisme.</x:v>
      </x:c>
      <x:c r="M185" s="29" t="str">
        <x:v>Simone de Beauvoir; Philosophie; Féminisme; Le Deuxième Sexe</x:v>
      </x:c>
    </x:row>
    <x:row r="186">
      <x:c r="A186" s="24" t="str">
        <x:v>MS-NAT-T4-056</x:v>
      </x:c>
      <x:c r="B186" s="25" t="str">
        <x:v>NAT-T4-056</x:v>
      </x:c>
      <x:c r="C186" s="25" t="str">
        <x:v>Histoire, géographie, patrimoine et culture</x:v>
      </x:c>
      <x:c r="D186" s="25" t="str">
        <x:v>🔴 Difficile</x:v>
      </x:c>
      <x:c r="E186" s="28" t="str">
        <x:v>Lors d’une visite culturelle, une personne de votre entourage souhaite vérifier un repère sur l’histoire, la géographie ou le patrimoine français. Un participant propose la réponse « Un compositeur ». Vous devez vérifier cette affirmation.</x:v>
      </x:c>
      <x:c r="F186" s="28" t="str">
        <x:v>Qui était Albert Camus, prix Nobel de littérature en 1957 ?</x:v>
      </x:c>
      <x:c r="G186" s="28" t="str">
        <x:v>Un peintre.</x:v>
      </x:c>
      <x:c r="H186" s="28" t="str">
        <x:v>Un compositeur.</x:v>
      </x:c>
      <x:c r="I186" s="28" t="str">
        <x:v>Un homme politique.</x:v>
      </x:c>
      <x:c r="J186" s="28" t="str">
        <x:v>Un écrivain et philosophe français.</x:v>
      </x:c>
      <x:c r="K186" s="32" t="str">
        <x:v>D</x:v>
      </x:c>
      <x:c r="L186" s="28" t="str">
        <x:v>La bonne réponse est « Un écrivain et philosophe français ». Albert Camus est l'un des plus grands écrivains français du XXᵉ siècle. Il est notamment l'auteur de L'Étranger et La Peste et reçoit le prix Nobel de littérature en 1957.</x:v>
      </x:c>
      <x:c r="M186" s="29" t="str">
        <x:v>Albert Camus; Prix Nobel; L'Étranger; La Peste</x:v>
      </x:c>
    </x:row>
    <x:row r="187">
      <x:c r="A187" s="24" t="str">
        <x:v>MS-NAT-T4-057</x:v>
      </x:c>
      <x:c r="B187" s="25" t="str">
        <x:v>NAT-T4-057</x:v>
      </x:c>
      <x:c r="C187" s="25" t="str">
        <x:v>Histoire, géographie, patrimoine et culture</x:v>
      </x:c>
      <x:c r="D187" s="25" t="str">
        <x:v>🔴 Difficile</x:v>
      </x:c>
      <x:c r="E187" s="28" t="str">
        <x:v>Vous préparez une sortie en France et une discussion s’engage autour d’un lieu, d’une personnalité ou d’un événement important. Un proche pense que la bonne réponse pourrait être « Une actrice ». Aidez-le à raisonner.</x:v>
      </x:c>
      <x:c r="F187" s="28" t="str">
        <x:v>Qui était Marguerite Yourcenar, première femme élue à l'Académie française en 1980 ?</x:v>
      </x:c>
      <x:c r="G187" s="28" t="str">
        <x:v>Une écrivaine française.</x:v>
      </x:c>
      <x:c r="H187" s="28" t="str">
        <x:v>Une scientifique.</x:v>
      </x:c>
      <x:c r="I187" s="28" t="str">
        <x:v>Une peintre.</x:v>
      </x:c>
      <x:c r="J187" s="28" t="str">
        <x:v>Une actrice.</x:v>
      </x:c>
      <x:c r="K187" s="32" t="str">
        <x:v>A</x:v>
      </x:c>
      <x:c r="L187" s="28" t="str">
        <x:v>La bonne réponse est « Une écrivaine française ». Marguerite Yourcenar est une grande écrivaine française. En 1980, elle devient la première femme élue à l'Académie française.</x:v>
      </x:c>
      <x:c r="M187" s="29" t="str">
        <x:v>Marguerite Yourcenar; Académie française; Écrivaine</x:v>
      </x:c>
    </x:row>
    <x:row r="188">
      <x:c r="A188" s="24" t="str">
        <x:v>MS-NAT-T4-058</x:v>
      </x:c>
      <x:c r="B188" s="25" t="str">
        <x:v>NAT-T4-058</x:v>
      </x:c>
      <x:c r="C188" s="25" t="str">
        <x:v>Histoire, géographie, patrimoine et culture</x:v>
      </x:c>
      <x:c r="D188" s="25" t="str">
        <x:v>🔴 Difficile</x:v>
      </x:c>
      <x:c r="E188" s="28" t="str">
        <x:v>Au cours d’un atelier culturel, votre groupe doit reconnaître un repère essentiel de l’histoire ou de la géographie française. Dans le groupe, la réponse « Un écrivain » est avancée. Vous devez déterminer si elle est correcte.</x:v>
      </x:c>
      <x:c r="F188" s="28" t="str">
        <x:v>Qui était Paul Cézanne ?</x:v>
      </x:c>
      <x:c r="G188" s="28" t="str">
        <x:v>Un écrivain.</x:v>
      </x:c>
      <x:c r="H188" s="28" t="str">
        <x:v>Un peintre français.</x:v>
      </x:c>
      <x:c r="I188" s="28" t="str">
        <x:v>Un musicien.</x:v>
      </x:c>
      <x:c r="J188" s="28" t="str">
        <x:v>Un sculpteur.</x:v>
      </x:c>
      <x:c r="K188" s="32" t="str">
        <x:v>B</x:v>
      </x:c>
      <x:c r="L188" s="28" t="str">
        <x:v>La bonne réponse est « Un peintre français ». Paul Cézanne est un peintre français majeur de la fin du XIXᵉ siècle. Son œuvre a profondément influencé l'art moderne.</x:v>
      </x:c>
      <x:c r="M188" s="29" t="str">
        <x:v>Paul Cézanne; Peinture; Art</x:v>
      </x:c>
    </x:row>
    <x:row r="189">
      <x:c r="A189" s="24" t="str">
        <x:v>MS-NAT-T4-059</x:v>
      </x:c>
      <x:c r="B189" s="25" t="str">
        <x:v>NAT-T4-059</x:v>
      </x:c>
      <x:c r="C189" s="25" t="str">
        <x:v>Histoire, géographie, patrimoine et culture</x:v>
      </x:c>
      <x:c r="D189" s="25" t="str">
        <x:v>🔴 Difficile</x:v>
      </x:c>
      <x:c r="E189" s="28" t="str">
        <x:v>Un proche prépare son entretien de naturalisation et vous demande de l’aider sur un élément du patrimoine français. Une personne hésite et choisit « Un écrivain ». Vous l’aidez à retrouver la règle ou le repère juste.</x:v>
      </x:c>
      <x:c r="F189" s="28" t="str">
        <x:v>Qui est l'auteur de la célèbre sculpture Le Penseur ?</x:v>
      </x:c>
      <x:c r="G189" s="28" t="str">
        <x:v>Un peintre.</x:v>
      </x:c>
      <x:c r="H189" s="28" t="str">
        <x:v>Un écrivain.</x:v>
      </x:c>
      <x:c r="I189" s="28" t="str">
        <x:v>Un sculpteur français (Auguste Rodin).</x:v>
      </x:c>
      <x:c r="J189" s="28" t="str">
        <x:v>Un musicien.</x:v>
      </x:c>
      <x:c r="K189" s="32" t="str">
        <x:v>C</x:v>
      </x:c>
      <x:c r="L189" s="28" t="str">
        <x:v>La bonne réponse est « Un sculpteur français (Auguste Rodin) ». Auguste Rodin est considéré comme le père de la sculpture moderne. Parmi ses œuvres les plus célèbres figurent Le Penseur et La Porte de l'Enfer.</x:v>
      </x:c>
      <x:c r="M189" s="29" t="str">
        <x:v>Rodin; Sculpture; Le Penseur</x:v>
      </x:c>
    </x:row>
    <x:row r="190">
      <x:c r="A190" s="24" t="str">
        <x:v>MS-NAT-T4-060</x:v>
      </x:c>
      <x:c r="B190" s="25" t="str">
        <x:v>NAT-T4-060</x:v>
      </x:c>
      <x:c r="C190" s="25" t="str">
        <x:v>Histoire, géographie, patrimoine et culture</x:v>
      </x:c>
      <x:c r="D190" s="25" t="str">
        <x:v>🔴 Difficile</x:v>
      </x:c>
      <x:c r="E190" s="28" t="str">
        <x:v>Lors d’une visite culturelle, une personne de votre entourage souhaite vérifier un repère sur l’histoire, la géographie ou le patrimoine français. Un participant propose la réponse « Chopin ». Vous devez vérifier cette affirmation.</x:v>
      </x:c>
      <x:c r="F190" s="28" t="str">
        <x:v>Lequel de ces compositeurs est français ?</x:v>
      </x:c>
      <x:c r="G190" s="28" t="str">
        <x:v>Mozart.</x:v>
      </x:c>
      <x:c r="H190" s="28" t="str">
        <x:v>Beethoven.</x:v>
      </x:c>
      <x:c r="I190" s="28" t="str">
        <x:v>Chopin.</x:v>
      </x:c>
      <x:c r="J190" s="28" t="str">
        <x:v>Claude Debussy.</x:v>
      </x:c>
      <x:c r="K190" s="32" t="str">
        <x:v>D</x:v>
      </x:c>
      <x:c r="L190" s="28" t="str">
        <x:v>La bonne réponse est « Claude Debussy ». La France compte de nombreux compositeurs mondialement connus, comme Claude Debussy, Maurice Ravel ou Georges Bizet, dont les œuvres sont jouées dans le monde entier.</x:v>
      </x:c>
      <x:c r="M190" s="29" t="str">
        <x:v>Debussy; Ravel; Bizet; Musique</x:v>
      </x:c>
    </x:row>
    <x:row r="191">
      <x:c r="A191" s="24" t="str">
        <x:v>MS-NAT-T4-066</x:v>
      </x:c>
      <x:c r="B191" s="25" t="str">
        <x:v>NAT-T4-066</x:v>
      </x:c>
      <x:c r="C191" s="25" t="str">
        <x:v>Histoire, géographie, patrimoine et culture</x:v>
      </x:c>
      <x:c r="D191" s="25" t="str">
        <x:v>🔴 Difficile</x:v>
      </x:c>
      <x:c r="E191" s="28" t="str">
        <x:v>Vous préparez une sortie en France et une discussion s’engage autour d’un lieu, d’une personnalité ou d’un événement important. Un proche pense que la bonne réponse pourrait être « La Sardaigne ». Aidez-le à raisonner.</x:v>
      </x:c>
      <x:c r="F191" s="28" t="str">
        <x:v>Quelle île française, collectivité territoriale unique, est située en Méditerranée ?</x:v>
      </x:c>
      <x:c r="G191" s="28" t="str">
        <x:v>La Corse.</x:v>
      </x:c>
      <x:c r="H191" s="28" t="str">
        <x:v>La Sardaigne.</x:v>
      </x:c>
      <x:c r="I191" s="28" t="str">
        <x:v>La Sicile.</x:v>
      </x:c>
      <x:c r="J191" s="28" t="str">
        <x:v>Majorque.</x:v>
      </x:c>
      <x:c r="K191" s="32" t="str">
        <x:v>A</x:v>
      </x:c>
      <x:c r="L191" s="28" t="str">
        <x:v>La bonne réponse est « La Corse ». La Corse est une île française située en Méditerranée. Elle constitue une collectivité territoriale unique et fait partie intégrante de la République française.</x:v>
      </x:c>
      <x:c r="M191" s="29" t="str">
        <x:v>Corse; Méditerranée; Île</x:v>
      </x:c>
    </x:row>
    <x:row r="192">
      <x:c r="A192" s="24" t="str">
        <x:v>MS-NAT-T4-067</x:v>
      </x:c>
      <x:c r="B192" s="25" t="str">
        <x:v>NAT-T4-067</x:v>
      </x:c>
      <x:c r="C192" s="25" t="str">
        <x:v>Histoire, géographie, patrimoine et culture</x:v>
      </x:c>
      <x:c r="D192" s="25" t="str">
        <x:v>🔴 Difficile</x:v>
      </x:c>
      <x:c r="E192" s="28" t="str">
        <x:v>Au cours d’un atelier culturel, votre groupe doit reconnaître un repère essentiel de l’histoire ou de la géographie française. Dans le groupe, la réponse « Le Puy de Dôme » est avancée. Vous devez déterminer si elle est correcte.</x:v>
      </x:c>
      <x:c r="F192" s="28" t="str">
        <x:v>Quel est le plus haut sommet de France, situé dans les Alpes ?</x:v>
      </x:c>
      <x:c r="G192" s="28" t="str">
        <x:v>Le Canigou.</x:v>
      </x:c>
      <x:c r="H192" s="28" t="str">
        <x:v>Le Mont Blanc.</x:v>
      </x:c>
      <x:c r="I192" s="28" t="str">
        <x:v>Le Puy de Dôme.</x:v>
      </x:c>
      <x:c r="J192" s="28" t="str">
        <x:v>Le mont Ventoux.</x:v>
      </x:c>
      <x:c r="K192" s="32" t="str">
        <x:v>B</x:v>
      </x:c>
      <x:c r="L192" s="28" t="str">
        <x:v>La bonne réponse est « Le Mont Blanc ». Le Mont Blanc, situé dans les Alpes, culmine à environ 4 805 mètres. Il est le plus haut sommet de France et d'Europe occidentale.</x:v>
      </x:c>
      <x:c r="M192" s="29" t="str">
        <x:v>Mont Blanc; Alpes; Montagne</x:v>
      </x:c>
    </x:row>
    <x:row r="193">
      <x:c r="A193" s="24" t="str">
        <x:v>MS-NAT-T4-068</x:v>
      </x:c>
      <x:c r="B193" s="25" t="str">
        <x:v>NAT-T4-068</x:v>
      </x:c>
      <x:c r="C193" s="25" t="str">
        <x:v>Histoire, géographie, patrimoine et culture</x:v>
      </x:c>
      <x:c r="D193" s="25" t="str">
        <x:v>🔴 Difficile</x:v>
      </x:c>
      <x:c r="E193" s="28" t="str">
        <x:v>Un proche prépare son entretien de naturalisation et vous demande de l’aider sur un élément du patrimoine français. Une personne hésite et choisit « La Guadeloupe ». Vous l’aidez à retrouver la règle ou le repère juste.</x:v>
      </x:c>
      <x:c r="F193" s="28" t="str">
        <x:v>Quel département français d'outre-mer est situé dans l'océan Indien, à l'est de Madagascar ?</x:v>
      </x:c>
      <x:c r="G193" s="28" t="str">
        <x:v>La Corse.</x:v>
      </x:c>
      <x:c r="H193" s="28" t="str">
        <x:v>La Martinique.</x:v>
      </x:c>
      <x:c r="I193" s="28" t="str">
        <x:v>La Réunion.</x:v>
      </x:c>
      <x:c r="J193" s="28" t="str">
        <x:v>La Guadeloupe.</x:v>
      </x:c>
      <x:c r="K193" s="32" t="str">
        <x:v>C</x:v>
      </x:c>
      <x:c r="L193" s="28" t="str">
        <x:v>La bonne réponse est « La Réunion ». La Réunion est un département et une région d'outre-mer situés dans l'océan Indien, à l'est de Madagascar.</x:v>
      </x:c>
      <x:c r="M193" s="29" t="str">
        <x:v>Réunion; Océan Indien; Outre-mer</x:v>
      </x:c>
    </x:row>
    <x:row r="194">
      <x:c r="A194" s="24" t="str">
        <x:v>MS-NAT-T4-069</x:v>
      </x:c>
      <x:c r="B194" s="25" t="str">
        <x:v>NAT-T4-069</x:v>
      </x:c>
      <x:c r="C194" s="25" t="str">
        <x:v>Histoire, géographie, patrimoine et culture</x:v>
      </x:c>
      <x:c r="D194" s="25" t="str">
        <x:v>🔴 Difficile</x:v>
      </x:c>
      <x:c r="E194" s="28" t="str">
        <x:v>Lors d’une visite culturelle, une personne de votre entourage souhaite vérifier un repère sur l’histoire, la géographie ou le patrimoine français. Un participant propose la réponse « Guadeloupe ». Vous devez vérifier cette affirmation.</x:v>
      </x:c>
      <x:c r="F194" s="28" t="str">
        <x:v>Quel département français d'outre-mer se situe en Amérique du Sud, à la frontière du Brésil ?</x:v>
      </x:c>
      <x:c r="G194" s="28" t="str">
        <x:v>Guadeloupe.</x:v>
      </x:c>
      <x:c r="H194" s="28" t="str">
        <x:v>Martinique.</x:v>
      </x:c>
      <x:c r="I194" s="28" t="str">
        <x:v>La Réunion.</x:v>
      </x:c>
      <x:c r="J194" s="28" t="str">
        <x:v>La Guyane.</x:v>
      </x:c>
      <x:c r="K194" s="32" t="str">
        <x:v>D</x:v>
      </x:c>
      <x:c r="L194" s="28" t="str">
        <x:v>La bonne réponse est « La Guyane ». La Guyane est un département et une région d'outre-mer d'Amérique du Sud. Elle partage une frontière avec le Brésil et le Suriname.</x:v>
      </x:c>
      <x:c r="M194" s="29" t="str">
        <x:v>Guyane; Brésil; Outre-mer</x:v>
      </x:c>
    </x:row>
    <x:row r="195">
      <x:c r="A195" s="24" t="str">
        <x:v>MS-NAT-T4-070</x:v>
      </x:c>
      <x:c r="B195" s="25" t="str">
        <x:v>NAT-T4-070</x:v>
      </x:c>
      <x:c r="C195" s="25" t="str">
        <x:v>Histoire, géographie, patrimoine et culture</x:v>
      </x:c>
      <x:c r="D195" s="25" t="str">
        <x:v>🔴 Difficile</x:v>
      </x:c>
      <x:c r="E195" s="28" t="str">
        <x:v>Vous préparez une sortie en France et une discussion s’engage autour d’un lieu, d’une personnalité ou d’un événement important. Un proche pense que la bonne réponse pourrait être « Paris ». Aidez-le à raisonner.</x:v>
      </x:c>
      <x:c r="F195" s="28" t="str">
        <x:v>D'où décollent les fusées Ariane, au sein du Centre spatial guyanais ?</x:v>
      </x:c>
      <x:c r="G195" s="28" t="str">
        <x:v>Kourou.</x:v>
      </x:c>
      <x:c r="H195" s="28" t="str">
        <x:v>Toulouse.</x:v>
      </x:c>
      <x:c r="I195" s="28" t="str">
        <x:v>Paris.</x:v>
      </x:c>
      <x:c r="J195" s="28" t="str">
        <x:v>Bordeaux.</x:v>
      </x:c>
      <x:c r="K195" s="32" t="str">
        <x:v>A</x:v>
      </x:c>
      <x:c r="L195" s="28" t="str">
        <x:v>La bonne réponse est « Kourou ». Le Centre spatial guyanais, situé à Kourou, est le principal site de lancement spatial européen. Sa proximité avec l'équateur facilite les lancements de satellites.</x:v>
      </x:c>
      <x:c r="M195" s="29" t="str">
        <x:v>Kourou; Guyane; Ariane; Centre spatial guyanais</x:v>
      </x:c>
    </x:row>
    <x:row r="196">
      <x:c r="A196" s="24" t="str">
        <x:v>MS-NAT-T4-071</x:v>
      </x:c>
      <x:c r="B196" s="25" t="str">
        <x:v>NAT-T4-071</x:v>
      </x:c>
      <x:c r="C196" s="25" t="str">
        <x:v>Histoire, géographie, patrimoine et culture</x:v>
      </x:c>
      <x:c r="D196" s="25" t="str">
        <x:v>🔴 Difficile</x:v>
      </x:c>
      <x:c r="E196" s="28" t="str">
        <x:v>Au cours d’un atelier culturel, votre groupe doit reconnaître un repère essentiel de l’histoire ou de la géographie française. Dans le groupe, la réponse « La mer Rouge » est avancée. Vous devez déterminer si elle est correcte.</x:v>
      </x:c>
      <x:c r="F196" s="28" t="str">
        <x:v>Laquelle de ces mers ou de ces océans borde la France métropolitaine ?</x:v>
      </x:c>
      <x:c r="G196" s="28" t="str">
        <x:v>L'océan Pacifique.</x:v>
      </x:c>
      <x:c r="H196" s="28" t="str">
        <x:v>L'océan Atlantique.</x:v>
      </x:c>
      <x:c r="I196" s="28" t="str">
        <x:v>La mer Noire.</x:v>
      </x:c>
      <x:c r="J196" s="28" t="str">
        <x:v>La mer Rouge.</x:v>
      </x:c>
      <x:c r="K196" s="32" t="str">
        <x:v>B</x:v>
      </x:c>
      <x:c r="L196" s="28" t="str">
        <x:v>La bonne réponse est « L'océan Atlantique ». La France métropolitaine est bordée par la Manche, l'océan Atlantique et la mer Méditerranée. Une petite partie du littoral touche également la mer du Nord.</x:v>
      </x:c>
      <x:c r="M196" s="29" t="str">
        <x:v>Atlantique; Manche; Méditerranée; Littoral</x:v>
      </x:c>
    </x:row>
    <x:row r="197">
      <x:c r="A197" s="24" t="str">
        <x:v>MS-NAT-T4-072</x:v>
      </x:c>
      <x:c r="B197" s="25" t="str">
        <x:v>NAT-T4-072</x:v>
      </x:c>
      <x:c r="C197" s="25" t="str">
        <x:v>Histoire, géographie, patrimoine et culture</x:v>
      </x:c>
      <x:c r="D197" s="25" t="str">
        <x:v>🔴 Difficile</x:v>
      </x:c>
      <x:c r="E197" s="28" t="str">
        <x:v>Un proche prépare son entretien de naturalisation et vous demande de l’aider sur un élément du patrimoine français. Une personne hésite et choisit « La Corse ». Vous l’aidez à retrouver la règle ou le repère juste.</x:v>
      </x:c>
      <x:c r="F197" s="28" t="str">
        <x:v>Lequel de ces territoires est un département-région d'outre-mer insulaire français ?</x:v>
      </x:c>
      <x:c r="G197" s="28" t="str">
        <x:v>La Corse.</x:v>
      </x:c>
      <x:c r="H197" s="28" t="str">
        <x:v>La Nouvelle-Calédonie.</x:v>
      </x:c>
      <x:c r="I197" s="28" t="str">
        <x:v>La Guadeloupe.</x:v>
      </x:c>
      <x:c r="J197" s="28" t="str">
        <x:v>La Polynésie française.</x:v>
      </x:c>
      <x:c r="K197" s="32" t="str">
        <x:v>C</x:v>
      </x:c>
      <x:c r="L197" s="28" t="str">
        <x:v>La bonne réponse est « La Guadeloupe ». Les îles françaises ayant le statut de département (ou département-région) d'outre-mer sont la Guadeloupe, la Martinique, La Réunion et Mayotte.</x:v>
      </x:c>
      <x:c r="M197" s="29" t="str">
        <x:v>Outre-mer; DROM; Réunion; Guadeloupe; Martinique; Mayotte</x:v>
      </x:c>
    </x:row>
    <x:row r="198">
      <x:c r="A198" s="24" t="str">
        <x:v>MS-NAT-T4-073</x:v>
      </x:c>
      <x:c r="B198" s="25" t="str">
        <x:v>NAT-T4-073</x:v>
      </x:c>
      <x:c r="C198" s="25" t="str">
        <x:v>Histoire, géographie, patrimoine et culture</x:v>
      </x:c>
      <x:c r="D198" s="25" t="str">
        <x:v>🔴 Difficile</x:v>
      </x:c>
      <x:c r="E198" s="28" t="str">
        <x:v>Lors d’une visite culturelle, une personne de votre entourage souhaite vérifier un repère sur l’histoire, la géographie ou le patrimoine français. Un participant propose la réponse « Les anciennes colonies françaises ». Vous devez vérifier cette affirmation.</x:v>
      </x:c>
      <x:c r="F198" s="28" t="str">
        <x:v>Qu'appelle-t-on la « France d'outre-mer » ?</x:v>
      </x:c>
      <x:c r="G198" s="28" t="str">
        <x:v>Les pays voisins de la France.</x:v>
      </x:c>
      <x:c r="H198" s="28" t="str">
        <x:v>Les anciennes colonies françaises.</x:v>
      </x:c>
      <x:c r="I198" s="28" t="str">
        <x:v>Les régions métropolitaines.</x:v>
      </x:c>
      <x:c r="J198" s="28" t="str">
        <x:v>Les territoires français situés en dehors de l'Europe.</x:v>
      </x:c>
      <x:c r="K198" s="32" t="str">
        <x:v>D</x:v>
      </x:c>
      <x:c r="L198" s="28" t="str">
        <x:v>La bonne réponse est « Les territoires français situés en dehors de l'Europe ». La France d'outre-mer regroupe les territoires français situés hors du continent européen. Ils possèdent des statuts différents (DROM, COM, etc.) mais appartiennent à la République française.</x:v>
      </x:c>
      <x:c r="M198" s="29" t="str">
        <x:v>Outre-mer; DROM; COM; Territoires</x:v>
      </x:c>
    </x:row>
    <x:row r="199">
      <x:c r="A199" s="24" t="str">
        <x:v>MS-NAT-T4-074</x:v>
      </x:c>
      <x:c r="B199" s="25" t="str">
        <x:v>NAT-T4-074</x:v>
      </x:c>
      <x:c r="C199" s="25" t="str">
        <x:v>Histoire, géographie, patrimoine et culture</x:v>
      </x:c>
      <x:c r="D199" s="25" t="str">
        <x:v>🔴 Difficile</x:v>
      </x:c>
      <x:c r="E199" s="28" t="str">
        <x:v>Vous préparez une sortie en France et une discussion s’engage autour d’un lieu, d’une personnalité ou d’un événement important. Un proche pense que la bonne réponse pourrait être « 100 millions ». Aidez-le à raisonner.</x:v>
      </x:c>
      <x:c r="F199" s="28" t="str">
        <x:v>Quelle est, environ, la population de la France en 2025 ?</x:v>
      </x:c>
      <x:c r="G199" s="28" t="str">
        <x:v>Environ 68 millions d'habitants.</x:v>
      </x:c>
      <x:c r="H199" s="28" t="str">
        <x:v>50 millions.</x:v>
      </x:c>
      <x:c r="I199" s="28" t="str">
        <x:v>80 millions.</x:v>
      </x:c>
      <x:c r="J199" s="28" t="str">
        <x:v>100 millions.</x:v>
      </x:c>
      <x:c r="K199" s="32" t="str">
        <x:v>A</x:v>
      </x:c>
      <x:c r="L199" s="28" t="str">
        <x:v>La bonne réponse est « Environ 68 millions d'habitants ». En 2025, la France compte environ 68 millions d'habitants (France entière). L'objectif est de connaître un ordre de grandeur, pas un chiffre exact.</x:v>
      </x:c>
      <x:c r="M199" s="29" t="str">
        <x:v>Population; 68 millions; France</x:v>
      </x:c>
    </x:row>
    <x:row r="200">
      <x:c r="A200" s="24" t="str">
        <x:v>MS-NAT-T4-075</x:v>
      </x:c>
      <x:c r="B200" s="25" t="str">
        <x:v>NAT-T4-075</x:v>
      </x:c>
      <x:c r="C200" s="25" t="str">
        <x:v>Histoire, géographie, patrimoine et culture</x:v>
      </x:c>
      <x:c r="D200" s="25" t="str">
        <x:v>🔴 Difficile</x:v>
      </x:c>
      <x:c r="E200" s="28" t="str">
        <x:v>Au cours d’un atelier culturel, votre groupe doit reconnaître un repère essentiel de l’histoire ou de la géographie française. Dans le groupe, la réponse « Bordeaux » est avancée. Vous devez déterminer si elle est correcte.</x:v>
      </x:c>
      <x:c r="F200" s="28" t="str">
        <x:v>Quel est le premier port français, aussi l'un des principaux ports de la Méditerranée ?</x:v>
      </x:c>
      <x:c r="G200" s="28" t="str">
        <x:v>Bordeaux.</x:v>
      </x:c>
      <x:c r="H200" s="28" t="str">
        <x:v>Marseille.</x:v>
      </x:c>
      <x:c r="I200" s="28" t="str">
        <x:v>Nantes.</x:v>
      </x:c>
      <x:c r="J200" s="28" t="str">
        <x:v>Le Havre.</x:v>
      </x:c>
      <x:c r="K200" s="32" t="str">
        <x:v>B</x:v>
      </x:c>
      <x:c r="L200" s="28" t="str">
        <x:v>La bonne réponse est « Marseille ». Le Grand Port Maritime de Marseille est le premier port français et l'un des principaux ports de la Méditerranée. Il joue un rôle essentiel dans le commerce et les échanges internationaux.</x:v>
      </x:c>
      <x:c r="M200" s="29" t="str">
        <x:v>Marseille; Port; Méditerranée; Commerce</x:v>
      </x:c>
    </x:row>
    <x:row r="201">
      <x:c r="A201" s="24" t="str">
        <x:v>MS-NAT-T4-076</x:v>
      </x:c>
      <x:c r="B201" s="25" t="str">
        <x:v>NAT-T4-076</x:v>
      </x:c>
      <x:c r="C201" s="25" t="str">
        <x:v>Histoire, géographie, patrimoine et culture</x:v>
      </x:c>
      <x:c r="D201" s="25" t="str">
        <x:v>🔴 Difficile</x:v>
      </x:c>
      <x:c r="E201" s="28" t="str">
        <x:v>Un proche prépare son entretien de naturalisation et vous demande de l’aider sur un élément du patrimoine français. Une personne hésite et choisit « 22 ». Vous l’aidez à retrouver la règle ou le repère juste.</x:v>
      </x:c>
      <x:c r="F201" s="28" t="str">
        <x:v>Combien de régions compte la France métropolitaine depuis la réforme territoriale de 2016 ?</x:v>
      </x:c>
      <x:c r="G201" s="28" t="str">
        <x:v>18.</x:v>
      </x:c>
      <x:c r="H201" s="28" t="str">
        <x:v>22.</x:v>
      </x:c>
      <x:c r="I201" s="28" t="str">
        <x:v>13.</x:v>
      </x:c>
      <x:c r="J201" s="28" t="str">
        <x:v>96.</x:v>
      </x:c>
      <x:c r="K201" s="32" t="str">
        <x:v>C</x:v>
      </x:c>
      <x:c r="L201" s="28" t="str">
        <x:v>La bonne réponse est « 13 ». Depuis la réforme territoriale de 2016, la France métropolitaine compte 13 régions. Si l'on ajoute les régions d'outre-mer, la France compte 18 régions au total.</x:v>
      </x:c>
      <x:c r="M201" s="29" t="str">
        <x:v>Régions; 13 régions; Réforme territoriale</x:v>
      </x:c>
    </x:row>
    <x:row r="202">
      <x:c r="A202" s="24" t="str">
        <x:v>MS-NAT-T4-077</x:v>
      </x:c>
      <x:c r="B202" s="25" t="str">
        <x:v>NAT-T4-077</x:v>
      </x:c>
      <x:c r="C202" s="25" t="str">
        <x:v>Histoire, géographie, patrimoine et culture</x:v>
      </x:c>
      <x:c r="D202" s="25" t="str">
        <x:v>🔴 Difficile</x:v>
      </x:c>
      <x:c r="E202" s="28" t="str">
        <x:v>Lors d’une visite culturelle, une personne de votre entourage souhaite vérifier un repère sur l’histoire, la géographie ou le patrimoine français. Un participant propose la réponse « La Guadeloupe ». Vous devez vérifier cette affirmation.</x:v>
      </x:c>
      <x:c r="F202" s="28" t="str">
        <x:v>Quel département d'outre-mer se situe dans l'océan Indien, au sud-est du continent africain ?</x:v>
      </x:c>
      <x:c r="G202" s="28" t="str">
        <x:v>La Corse.</x:v>
      </x:c>
      <x:c r="H202" s="28" t="str">
        <x:v>La Martinique.</x:v>
      </x:c>
      <x:c r="I202" s="28" t="str">
        <x:v>La Guadeloupe.</x:v>
      </x:c>
      <x:c r="J202" s="28" t="str">
        <x:v>La Réunion.</x:v>
      </x:c>
      <x:c r="K202" s="32" t="str">
        <x:v>D</x:v>
      </x:c>
      <x:c r="L202" s="28" t="str">
        <x:v>La bonne réponse est « La Réunion ». La Réunion est un département et une région d'outre-mer français situé dans l'océan Indien, à l'est de Madagascar.</x:v>
      </x:c>
      <x:c r="M202" s="29" t="str">
        <x:v>Réunion; Océan Indien; Afrique; Outre-mer</x:v>
      </x:c>
    </x:row>
    <x:row r="203">
      <x:c r="A203" s="24" t="str">
        <x:v>MS-NAT-T4-078</x:v>
      </x:c>
      <x:c r="B203" s="25" t="str">
        <x:v>NAT-T4-078</x:v>
      </x:c>
      <x:c r="C203" s="25" t="str">
        <x:v>Histoire, géographie, patrimoine et culture</x:v>
      </x:c>
      <x:c r="D203" s="25" t="str">
        <x:v>🔴 Difficile</x:v>
      </x:c>
      <x:c r="E203" s="28" t="str">
        <x:v>Vous préparez une sortie en France et une discussion s’engage autour d’un lieu, d’une personnalité ou d’un événement important. Un proche pense que la bonne réponse pourrait être « Clermont-Ferrand ». Aidez-le à raisonner.</x:v>
      </x:c>
      <x:c r="F203" s="28" t="str">
        <x:v>Quel est le chef-lieu de la région Auvergne-Rhône-Alpes ?</x:v>
      </x:c>
      <x:c r="G203" s="28" t="str">
        <x:v>Lyon.</x:v>
      </x:c>
      <x:c r="H203" s="28" t="str">
        <x:v>Clermont-Ferrand.</x:v>
      </x:c>
      <x:c r="I203" s="28" t="str">
        <x:v>Grenoble.</x:v>
      </x:c>
      <x:c r="J203" s="28" t="str">
        <x:v>Saint-Étienne.</x:v>
      </x:c>
      <x:c r="K203" s="32" t="str">
        <x:v>A</x:v>
      </x:c>
      <x:c r="L203" s="28" t="str">
        <x:v>La bonne réponse est « Lyon ». Lyon est le chef-lieu de la région Auvergne-Rhône-Alpes. C'est également la troisième commune la plus peuplée de France.</x:v>
      </x:c>
      <x:c r="M203" s="29" t="str">
        <x:v>Lyon; Auvergne-Rhône-Alpes; Chef-lieu</x:v>
      </x:c>
    </x:row>
    <x:row r="204">
      <x:c r="A204" s="24" t="str">
        <x:v>MS-NAT-T4-079</x:v>
      </x:c>
      <x:c r="B204" s="25" t="str">
        <x:v>NAT-T4-079</x:v>
      </x:c>
      <x:c r="C204" s="25" t="str">
        <x:v>Histoire, géographie, patrimoine et culture</x:v>
      </x:c>
      <x:c r="D204" s="25" t="str">
        <x:v>🔴 Difficile</x:v>
      </x:c>
      <x:c r="E204" s="28" t="str">
        <x:v>Au cours d’un atelier culturel, votre groupe doit reconnaître un repère essentiel de l’histoire ou de la géographie française. Dans le groupe, la réponse « Nantes » est avancée. Vous devez déterminer si elle est correcte.</x:v>
      </x:c>
      <x:c r="F204" s="28" t="str">
        <x:v>Quel est le chef-lieu de la région Bretagne ?</x:v>
      </x:c>
      <x:c r="G204" s="28" t="str">
        <x:v>Brest.</x:v>
      </x:c>
      <x:c r="H204" s="28" t="str">
        <x:v>Rennes.</x:v>
      </x:c>
      <x:c r="I204" s="28" t="str">
        <x:v>Nantes.</x:v>
      </x:c>
      <x:c r="J204" s="28" t="str">
        <x:v>Quimper.</x:v>
      </x:c>
      <x:c r="K204" s="32" t="str">
        <x:v>B</x:v>
      </x:c>
      <x:c r="L204" s="28" t="str">
        <x:v>La bonne réponse est « Rennes ». Rennes est le chef-lieu de la région Bretagne. C'est également une grande ville universitaire et économique de l'ouest de la France.</x:v>
      </x:c>
      <x:c r="M204" s="29" t="str">
        <x:v>Rennes; Bretagne; Chef-lieu</x:v>
      </x:c>
    </x:row>
    <x:row r="205">
      <x:c r="A205" s="24" t="str">
        <x:v>MS-NAT-T4-080</x:v>
      </x:c>
      <x:c r="B205" s="25" t="str">
        <x:v>NAT-T4-080</x:v>
      </x:c>
      <x:c r="C205" s="25" t="str">
        <x:v>Histoire, géographie, patrimoine et culture</x:v>
      </x:c>
      <x:c r="D205" s="25" t="str">
        <x:v>🔴 Difficile</x:v>
      </x:c>
      <x:c r="E205" s="28" t="str">
        <x:v>Un proche prépare son entretien de naturalisation et vous demande de l’aider sur un élément du patrimoine français. Une personne hésite et choisit « Aix-en-Provence ». Vous l’aidez à retrouver la règle ou le repère juste.</x:v>
      </x:c>
      <x:c r="F205" s="28" t="str">
        <x:v>Quel est le chef-lieu de la région Provence-Alpes-Côte d'Azur ?</x:v>
      </x:c>
      <x:c r="G205" s="28" t="str">
        <x:v>Nice.</x:v>
      </x:c>
      <x:c r="H205" s="28" t="str">
        <x:v>Toulon.</x:v>
      </x:c>
      <x:c r="I205" s="28" t="str">
        <x:v>Marseille.</x:v>
      </x:c>
      <x:c r="J205" s="28" t="str">
        <x:v>Aix-en-Provence.</x:v>
      </x:c>
      <x:c r="K205" s="32" t="str">
        <x:v>C</x:v>
      </x:c>
      <x:c r="L205" s="28" t="str">
        <x:v>La bonne réponse est « Marseille ». Marseille est le chef-lieu de la région Provence-Alpes-Côte d'Azur (PACA). C'est également la deuxième ville la plus peuplée de France et le premier port maritime du pays.</x:v>
      </x:c>
      <x:c r="M205" s="29" t="str">
        <x:v>Marseille; PACA; Chef-lieu</x:v>
      </x:c>
    </x:row>
    <x:row r="206">
      <x:c r="A206" s="24" t="str">
        <x:v>MS-NAT-T4-081</x:v>
      </x:c>
      <x:c r="B206" s="25" t="str">
        <x:v>NAT-T4-081</x:v>
      </x:c>
      <x:c r="C206" s="25" t="str">
        <x:v>Histoire, géographie, patrimoine et culture</x:v>
      </x:c>
      <x:c r="D206" s="25" t="str">
        <x:v>🔴 Difficile</x:v>
      </x:c>
      <x:c r="E206" s="28" t="str">
        <x:v>Lors d’une visite culturelle, une personne de votre entourage souhaite vérifier un repère sur l’histoire, la géographie ou le patrimoine français. Un participant propose la réponse « La Réunion ». Vous devez vérifier cette affirmation.</x:v>
      </x:c>
      <x:c r="F206" s="28" t="str">
        <x:v>Depuis 2011, quel territoire est devenu le 101ᵉ département français ?</x:v>
      </x:c>
      <x:c r="G206" s="28" t="str">
        <x:v>La Réunion.</x:v>
      </x:c>
      <x:c r="H206" s="28" t="str">
        <x:v>La Guyane.</x:v>
      </x:c>
      <x:c r="I206" s="28" t="str">
        <x:v>La Martinique.</x:v>
      </x:c>
      <x:c r="J206" s="28" t="str">
        <x:v>Mayotte.</x:v>
      </x:c>
      <x:c r="K206" s="32" t="str">
        <x:v>D</x:v>
      </x:c>
      <x:c r="L206" s="28" t="str">
        <x:v>La bonne réponse est « Mayotte ». Depuis le 31 mars 2011, Mayotte est devenue le 101ᵉ département français. Elle est également une région d'outre-mer située dans l'océan Indien.</x:v>
      </x:c>
      <x:c r="M206" s="29" t="str">
        <x:v>Mayotte; 101e département; Outre-mer</x:v>
      </x:c>
    </x:row>
    <x:row r="207">
      <x:c r="A207" s="24" t="str">
        <x:v>MS-NAT-T4-082</x:v>
      </x:c>
      <x:c r="B207" s="25" t="str">
        <x:v>NAT-T4-082</x:v>
      </x:c>
      <x:c r="C207" s="25" t="str">
        <x:v>Histoire, géographie, patrimoine et culture</x:v>
      </x:c>
      <x:c r="D207" s="25" t="str">
        <x:v>🔴 Difficile</x:v>
      </x:c>
      <x:c r="E207" s="28" t="str">
        <x:v>Vous préparez une sortie en France et une discussion s’engage autour d’un lieu, d’une personnalité ou d’un événement important. Un proche pense que la bonne réponse pourrait être « Normandie ». Aidez-le à raisonner.</x:v>
      </x:c>
      <x:c r="F207" s="28" t="str">
        <x:v>Dans quelle région se trouvent la plupart des grandes stations de ski françaises (Chamonix, Les Trois Vallées...) ?</x:v>
      </x:c>
      <x:c r="G207" s="28" t="str">
        <x:v>Auvergne-Rhône-Alpes.</x:v>
      </x:c>
      <x:c r="H207" s="28" t="str">
        <x:v>Bretagne.</x:v>
      </x:c>
      <x:c r="I207" s="28" t="str">
        <x:v>Normandie.</x:v>
      </x:c>
      <x:c r="J207" s="28" t="str">
        <x:v>Île-de-France.</x:v>
      </x:c>
      <x:c r="K207" s="32" t="str">
        <x:v>A</x:v>
      </x:c>
      <x:c r="L207" s="28" t="str">
        <x:v>La bonne réponse est « Auvergne-Rhône-Alpes ». La région Auvergne-Rhône-Alpes accueille certaines des plus grandes stations de ski françaises, comme Chamonix, Les Trois Vallées, La Plagne ou Les Arcs.</x:v>
      </x:c>
      <x:c r="M207" s="29" t="str">
        <x:v>Auvergne-Rhône-Alpes; Alpes; Stations de ski</x:v>
      </x:c>
    </x:row>
    <x:row r="208">
      <x:c r="A208" s="24" t="str">
        <x:v>MS-NAT-T4-083</x:v>
      </x:c>
      <x:c r="B208" s="25" t="str">
        <x:v>NAT-T4-083</x:v>
      </x:c>
      <x:c r="C208" s="25" t="str">
        <x:v>Histoire, géographie, patrimoine et culture</x:v>
      </x:c>
      <x:c r="D208" s="25" t="str">
        <x:v>🔴 Difficile</x:v>
      </x:c>
      <x:c r="E208" s="28" t="str">
        <x:v>Au cours d’un atelier culturel, votre groupe doit reconnaître un repère essentiel de l’histoire ou de la géographie française. Dans le groupe, la réponse « La Garonne » est avancée. Vous devez déterminer si elle est correcte.</x:v>
      </x:c>
      <x:c r="F208" s="28" t="str">
        <x:v>Quel fleuve traverse Paris avant de se jeter dans la Manche au Havre ?</x:v>
      </x:c>
      <x:c r="G208" s="28" t="str">
        <x:v>Le Rhône.</x:v>
      </x:c>
      <x:c r="H208" s="28" t="str">
        <x:v>La Seine.</x:v>
      </x:c>
      <x:c r="I208" s="28" t="str">
        <x:v>La Loire.</x:v>
      </x:c>
      <x:c r="J208" s="28" t="str">
        <x:v>La Garonne.</x:v>
      </x:c>
      <x:c r="K208" s="32" t="str">
        <x:v>B</x:v>
      </x:c>
      <x:c r="L208" s="28" t="str">
        <x:v>La bonne réponse est « La Seine ». La Seine traverse Paris avant de se jeter dans la Manche au Havre. Les quais de Seine sont inscrits au patrimoine mondial de l'UNESCO.</x:v>
      </x:c>
      <x:c r="M208" s="29" t="str">
        <x:v>Seine; Paris; Fleuve; UNESCO</x:v>
      </x:c>
    </x:row>
    <x:row r="209">
      <x:c r="A209" s="24" t="str">
        <x:v>MS-NAT-T5-001</x:v>
      </x:c>
      <x:c r="B209" s="25" t="str">
        <x:v>NAT-T5-001</x:v>
      </x:c>
      <x:c r="C209" s="25" t="str">
        <x:v>Vivre dans la société française</x:v>
      </x:c>
      <x:c r="D209" s="25" t="str">
        <x:v>🟡 Intermédiaire</x:v>
      </x:c>
      <x:c r="E209" s="28" t="str">
        <x:v>Lors d’un échange dans un service public, une personne veut s’assurer qu’elle connaît la règle applicable à sa situation. Une personne hésite et choisit « À la préfecture ». Vous l’aidez à retrouver la règle ou le repère juste.</x:v>
      </x:c>
      <x:c r="F209" s="28" t="str">
        <x:v>Où doit-on déclarer la naissance d'un enfant ?</x:v>
      </x:c>
      <x:c r="G209" s="28" t="str">
        <x:v>À la mairie du lieu de naissance.</x:v>
      </x:c>
      <x:c r="H209" s="28" t="str">
        <x:v>À la préfecture.</x:v>
      </x:c>
      <x:c r="I209" s="28" t="str">
        <x:v>À la CAF.</x:v>
      </x:c>
      <x:c r="J209" s="28" t="str">
        <x:v>À la police.</x:v>
      </x:c>
      <x:c r="K209" s="32" t="str">
        <x:v>A</x:v>
      </x:c>
      <x:c r="L209" s="28" t="str">
        <x:v>La bonne réponse est « À la mairie du lieu de naissance ». Toute naissance doit être déclarée auprès du service de l'état civil de la mairie du lieu de naissance afin d'établir l'acte de naissance de l'enfant.</x:v>
      </x:c>
      <x:c r="M209" s="29" t="str">
        <x:v>Naissance; État civil; Mairie</x:v>
      </x:c>
    </x:row>
    <x:row r="210">
      <x:c r="A210" s="24" t="str">
        <x:v>MS-NAT-T5-002</x:v>
      </x:c>
      <x:c r="B210" s="25" t="str">
        <x:v>NAT-T5-002</x:v>
      </x:c>
      <x:c r="C210" s="25" t="str">
        <x:v>Vivre dans la société française</x:v>
      </x:c>
      <x:c r="D210" s="25" t="str">
        <x:v>🔴 Difficile</x:v>
      </x:c>
      <x:c r="E210" s="28" t="str">
        <x:v>Dans une démarche de la vie quotidienne, une personne de votre entourage hésite sur la conduite à adopter en France. Un participant propose la réponse « Transformer le logement ». Vous devez vérifier cette affirmation.</x:v>
      </x:c>
      <x:c r="F210" s="28" t="str">
        <x:v>Quels types de travaux un locataire peut-il réaliser librement dans son logement ?</x:v>
      </x:c>
      <x:c r="G210" s="28" t="str">
        <x:v>Abattre une cloison.</x:v>
      </x:c>
      <x:c r="H210" s="28" t="str">
        <x:v>Effectuer les petits aménagements du logement (peinture, étagères...).</x:v>
      </x:c>
      <x:c r="I210" s="28" t="str">
        <x:v>Transformer le logement.</x:v>
      </x:c>
      <x:c r="J210" s="28" t="str">
        <x:v>Construire une extension.</x:v>
      </x:c>
      <x:c r="K210" s="32" t="str">
        <x:v>B</x:v>
      </x:c>
      <x:c r="L210" s="28" t="str">
        <x:v>La bonne réponse est « Effectuer les petits aménagements du logement (peinture, étagères...) ». Le locataire peut librement réaliser des aménagements légers. En revanche, toute transformation importante nécessite l'accord du propriétaire.</x:v>
      </x:c>
      <x:c r="M210" s="29" t="str">
        <x:v>Location; Locataire; Logement</x:v>
      </x:c>
    </x:row>
    <x:row r="211">
      <x:c r="A211" s="24" t="str">
        <x:v>MS-NAT-T5-003</x:v>
      </x:c>
      <x:c r="B211" s="25" t="str">
        <x:v>NAT-T5-003</x:v>
      </x:c>
      <x:c r="C211" s="25" t="str">
        <x:v>Vivre dans la société française</x:v>
      </x:c>
      <x:c r="D211" s="25" t="str">
        <x:v>🟡 Intermédiaire</x:v>
      </x:c>
      <x:c r="E211" s="28" t="str">
        <x:v>Une famille récemment installée en France vous demande de l’aider à comprendre une règle pratique de la société française. Un proche pense que la bonne réponse pourrait être « Les fiançailles ». Aidez-le à raisonner.</x:v>
      </x:c>
      <x:c r="F211" s="28" t="str">
        <x:v>Quel mariage est reconnu par l'État français ?</x:v>
      </x:c>
      <x:c r="G211" s="28" t="str">
        <x:v>Le mariage religieux uniquement.</x:v>
      </x:c>
      <x:c r="H211" s="28" t="str">
        <x:v>Le mariage coutumier.</x:v>
      </x:c>
      <x:c r="I211" s="28" t="str">
        <x:v>Le mariage civil, célébré à la mairie.</x:v>
      </x:c>
      <x:c r="J211" s="28" t="str">
        <x:v>Les fiançailles.</x:v>
      </x:c>
      <x:c r="K211" s="32" t="str">
        <x:v>C</x:v>
      </x:c>
      <x:c r="L211" s="28" t="str">
        <x:v>La bonne réponse est « Le mariage civil, célébré à la mairie ». En France, le mariage doit obligatoirement être célébré devant un officier d'état civil. Une cérémonie religieuse peut avoir lieu ensuite, mais elle ne remplace pas le mariage civil.</x:v>
      </x:c>
      <x:c r="M211" s="29" t="str">
        <x:v>Mariage; Mairie; Mariage civil</x:v>
      </x:c>
    </x:row>
    <x:row r="212">
      <x:c r="A212" s="24" t="str">
        <x:v>MS-NAT-T5-004</x:v>
      </x:c>
      <x:c r="B212" s="25" t="str">
        <x:v>NAT-T5-004</x:v>
      </x:c>
      <x:c r="C212" s="25" t="str">
        <x:v>Vivre dans la société française</x:v>
      </x:c>
      <x:c r="D212" s="25" t="str">
        <x:v>🟡 Intermédiaire</x:v>
      </x:c>
      <x:c r="E212" s="28" t="str">
        <x:v>Au travail, à l’école, dans le logement ou dans le système de santé, un proche souhaite vérifier la bonne démarche. Dans le groupe, la réponse « Autorisé pour tout le monde en cas d'urgence » est avancée. Vous devez déterminer si elle est correcte.</x:v>
      </x:c>
      <x:c r="F212" s="28" t="str">
        <x:v>Le stationnement sur une place réservée aux personnes handicapées est :</x:v>
      </x:c>
      <x:c r="G212" s="28" t="str">
        <x:v>Autorisé pour tout le monde en cas d'urgence.</x:v>
      </x:c>
      <x:c r="H212" s="28" t="str">
        <x:v>Autorisé le week-end pour tous.</x:v>
      </x:c>
      <x:c r="I212" s="28" t="str">
        <x:v>Interdit dans tous les cas, même avec une carte.</x:v>
      </x:c>
      <x:c r="J212" s="28" t="str">
        <x:v>Autorisé uniquement pour les véhicules disposant de la carte de stationnement (CMI).</x:v>
      </x:c>
      <x:c r="K212" s="32" t="str">
        <x:v>D</x:v>
      </x:c>
      <x:c r="L212" s="28" t="str">
        <x:v>La bonne réponse est « Autorisé uniquement pour les véhicules disposant de la carte de stationnement (CMI) ». Les places réservées sont destinées aux personnes titulaires d'une carte mobilité inclusion (CMI) mention « stationnement » ou d'une carte européenne de stationnement encore valide. Le stationnement abusif est passible d'une amende.</x:v>
      </x:c>
      <x:c r="M212" s="29" t="str">
        <x:v>Handicap; Stationnement; CMI</x:v>
      </x:c>
    </x:row>
    <x:row r="213">
      <x:c r="A213" s="24" t="str">
        <x:v>MS-NAT-T5-005</x:v>
      </x:c>
      <x:c r="B213" s="25" t="str">
        <x:v>NAT-T5-005</x:v>
      </x:c>
      <x:c r="C213" s="25" t="str">
        <x:v>Vivre dans la société française</x:v>
      </x:c>
      <x:c r="D213" s="25" t="str">
        <x:v>🟡 Intermédiaire</x:v>
      </x:c>
      <x:c r="E213" s="28" t="str">
        <x:v>Lors d’un échange dans un service public, une personne veut s’assurer qu’elle connaît la règle applicable à sa situation. Une personne hésite et choisit « Rien ne peut être fait après l'achat ». Vous l’aidez à retrouver la règle ou le repère juste.</x:v>
      </x:c>
      <x:c r="F213" s="28" t="str">
        <x:v>Un appareil électroménager neuf tombe en panne un an après l'achat. Que peut faire l'acheteur ?</x:v>
      </x:c>
      <x:c r="G213" s="28" t="str">
        <x:v>Faire jouer la garantie légale de 2 ans ou demander une réparation.</x:v>
      </x:c>
      <x:c r="H213" s="28" t="str">
        <x:v>Il faut contacter directement le fabricant.</x:v>
      </x:c>
      <x:c r="I213" s="28" t="str">
        <x:v>Rien ne peut être fait après l'achat.</x:v>
      </x:c>
      <x:c r="J213" s="28" t="str">
        <x:v>Il faut payer une nouvelle réparation.</x:v>
      </x:c>
      <x:c r="K213" s="32" t="str">
        <x:v>A</x:v>
      </x:c>
      <x:c r="L213" s="28" t="str">
        <x:v>La bonne réponse est « Faire jouer la garantie légale de 2 ans ou demander une réparation ». En France, tout produit neuf acheté en magasin bénéficie d'une garantie légale de conformité de 2 ans. Si l'appareil tombe en panne, c'est au vendeur (le magasin) de régler le problème (réparation ou échange), pas au fabricant.</x:v>
      </x:c>
      <x:c r="M213" s="29" t="str">
        <x:v>Garantie</x:v>
      </x:c>
    </x:row>
    <x:row r="214">
      <x:c r="A214" s="24" t="str">
        <x:v>MS-NAT-T5-006</x:v>
      </x:c>
      <x:c r="B214" s="25" t="str">
        <x:v>NAT-T5-006</x:v>
      </x:c>
      <x:c r="C214" s="25" t="str">
        <x:v>Vivre dans la société française</x:v>
      </x:c>
      <x:c r="D214" s="25" t="str">
        <x:v>🔴 Difficile</x:v>
      </x:c>
      <x:c r="E214" s="28" t="str">
        <x:v>Dans une démarche de la vie quotidienne, une personne de votre entourage hésite sur la conduite à adopter en France. Un participant propose la réponse « À ses 18 ans ». Vous devez vérifier cette affirmation.</x:v>
      </x:c>
      <x:c r="F214" s="28" t="str">
        <x:v>À quel moment la naissance d'un enfant doit-elle être déclarée ?</x:v>
      </x:c>
      <x:c r="G214" s="28" t="str">
        <x:v>À son entrée à l'école.</x:v>
      </x:c>
      <x:c r="H214" s="28" t="str">
        <x:v>Lors de sa naissance.</x:v>
      </x:c>
      <x:c r="I214" s="28" t="str">
        <x:v>Lorsqu'il obtient sa carte d'identité.</x:v>
      </x:c>
      <x:c r="J214" s="28" t="str">
        <x:v>À ses 18 ans.</x:v>
      </x:c>
      <x:c r="K214" s="32" t="str">
        <x:v>B</x:v>
      </x:c>
      <x:c r="L214" s="28" t="str">
        <x:v>La bonne réponse est « Lors de sa naissance ». La naissance d'un enfant doit obligatoirement être déclarée au service de l'état civil afin qu'un acte de naissance soit établi.</x:v>
      </x:c>
      <x:c r="M214" s="29" t="str">
        <x:v>Naissance; État civil; Déclaration</x:v>
      </x:c>
    </x:row>
    <x:row r="215">
      <x:c r="A215" s="24" t="str">
        <x:v>MS-NAT-T5-007</x:v>
      </x:c>
      <x:c r="B215" s="25" t="str">
        <x:v>NAT-T5-007</x:v>
      </x:c>
      <x:c r="C215" s="25" t="str">
        <x:v>Vivre dans la société française</x:v>
      </x:c>
      <x:c r="D215" s="25" t="str">
        <x:v>🔴 Difficile</x:v>
      </x:c>
      <x:c r="E215" s="28" t="str">
        <x:v>Une famille récemment installée en France vous demande de l’aider à comprendre une règle pratique de la société française. Un proche pense que la bonne réponse pourrait être « Dans le mois ». Aidez-le à raisonner.</x:v>
      </x:c>
      <x:c r="F215" s="28" t="str">
        <x:v>Dans quel délai la naissance d'un enfant doit-elle être déclarée à la mairie ?</x:v>
      </x:c>
      <x:c r="G215" s="28" t="str">
        <x:v>Dans le mois.</x:v>
      </x:c>
      <x:c r="H215" s="28" t="str">
        <x:v>Avant un an.</x:v>
      </x:c>
      <x:c r="I215" s="28" t="str">
        <x:v>Dans les cinq jours suivant la naissance.</x:v>
      </x:c>
      <x:c r="J215" s="28" t="str">
        <x:v>À tout moment.</x:v>
      </x:c>
      <x:c r="K215" s="32" t="str">
        <x:v>C</x:v>
      </x:c>
      <x:c r="L215" s="28" t="str">
        <x:v>La bonne réponse est « Dans les cinq jours suivant la naissance ». En France, la déclaration de naissance doit être réalisée dans les cinq jours suivant la naissance auprès de la mairie du lieu de naissance.</x:v>
      </x:c>
      <x:c r="M215" s="29" t="str">
        <x:v>Naissance; 5 jours; Mairie; État civil</x:v>
      </x:c>
    </x:row>
    <x:row r="216">
      <x:c r="A216" s="24" t="str">
        <x:v>MS-NAT-T5-008</x:v>
      </x:c>
      <x:c r="B216" s="25" t="str">
        <x:v>NAT-T5-008</x:v>
      </x:c>
      <x:c r="C216" s="25" t="str">
        <x:v>Vivre dans la société française</x:v>
      </x:c>
      <x:c r="D216" s="25" t="str">
        <x:v>🔴 Difficile</x:v>
      </x:c>
      <x:c r="E216" s="28" t="str">
        <x:v>Au travail, à l’école, dans le logement ou dans le système de santé, un proche souhaite vérifier la bonne démarche. Dans le groupe, la réponse « 18 » est avancée. Vous devez déterminer si elle est correcte.</x:v>
      </x:c>
      <x:c r="F216" s="28" t="str">
        <x:v>Quel numéro permet de joindre directement la police en cas d'urgence ?</x:v>
      </x:c>
      <x:c r="G216" s="28" t="str">
        <x:v>15.</x:v>
      </x:c>
      <x:c r="H216" s="28" t="str">
        <x:v>18.</x:v>
      </x:c>
      <x:c r="I216" s="28" t="str">
        <x:v>112.</x:v>
      </x:c>
      <x:c r="J216" s="28" t="str">
        <x:v>Le 17.</x:v>
      </x:c>
      <x:c r="K216" s="32" t="str">
        <x:v>D</x:v>
      </x:c>
      <x:c r="L216" s="28" t="str">
        <x:v>La bonne réponse est « Le 17 ». Le 17 permet de contacter la police ou la gendarmerie en cas d'urgence nécessitant leur intervention. Le 112 fonctionne aussi dans toute l'Union européenne, mais le numéro national dédié à la police reste le 17.</x:v>
      </x:c>
      <x:c r="M216" s="29" t="str">
        <x:v>17; Police; Urgence</x:v>
      </x:c>
    </x:row>
    <x:row r="217">
      <x:c r="A217" s="24" t="str">
        <x:v>MS-NAT-T5-009</x:v>
      </x:c>
      <x:c r="B217" s="25" t="str">
        <x:v>NAT-T5-009</x:v>
      </x:c>
      <x:c r="C217" s="25" t="str">
        <x:v>Vivre dans la société française</x:v>
      </x:c>
      <x:c r="D217" s="25" t="str">
        <x:v>🔴 Difficile</x:v>
      </x:c>
      <x:c r="E217" s="28" t="str">
        <x:v>Lors d’un échange dans un service public, une personne veut s’assurer qu’elle connaît la règle applicable à sa situation. Une personne hésite et choisit « 112 ». Vous l’aidez à retrouver la règle ou le repère juste.</x:v>
      </x:c>
      <x:c r="F217" s="28" t="str">
        <x:v>Quel numéro permet de joindre directement le SAMU en cas d'urgence médicale ?</x:v>
      </x:c>
      <x:c r="G217" s="28" t="str">
        <x:v>Le 15.</x:v>
      </x:c>
      <x:c r="H217" s="28" t="str">
        <x:v>17.</x:v>
      </x:c>
      <x:c r="I217" s="28" t="str">
        <x:v>18.</x:v>
      </x:c>
      <x:c r="J217" s="28" t="str">
        <x:v>112.</x:v>
      </x:c>
      <x:c r="K217" s="32" t="str">
        <x:v>A</x:v>
      </x:c>
      <x:c r="L217" s="28" t="str">
        <x:v>La bonne réponse est « Le 15 ». Le 15 permet de contacter le SAMU pour toute urgence médicale nécessitant une intervention rapide.</x:v>
      </x:c>
      <x:c r="M217" s="29" t="str">
        <x:v>15; SAMU; Urgence médicale</x:v>
      </x:c>
    </x:row>
    <x:row r="218">
      <x:c r="A218" s="24" t="str">
        <x:v>MS-NAT-T5-010</x:v>
      </x:c>
      <x:c r="B218" s="25" t="str">
        <x:v>NAT-T5-010</x:v>
      </x:c>
      <x:c r="C218" s="25" t="str">
        <x:v>Vivre dans la société française</x:v>
      </x:c>
      <x:c r="D218" s="25" t="str">
        <x:v>🔴 Difficile</x:v>
      </x:c>
      <x:c r="E218" s="28" t="str">
        <x:v>Dans une démarche de la vie quotidienne, une personne de votre entourage hésite sur la conduite à adopter en France. Un participant propose la réponse « À la préfecture ». Vous devez vérifier cette affirmation.</x:v>
      </x:c>
      <x:c r="F218" s="28" t="str">
        <x:v>Où les parents doivent-ils d'abord s'adresser pour inscrire leur enfant à l'école publique ?</x:v>
      </x:c>
      <x:c r="G218" s="28" t="str">
        <x:v>À la préfecture.</x:v>
      </x:c>
      <x:c r="H218" s="28" t="str">
        <x:v>À la mairie.</x:v>
      </x:c>
      <x:c r="I218" s="28" t="str">
        <x:v>À France Travail.</x:v>
      </x:c>
      <x:c r="J218" s="28" t="str">
        <x:v>À la CAF.</x:v>
      </x:c>
      <x:c r="K218" s="32" t="str">
        <x:v>B</x:v>
      </x:c>
      <x:c r="L218" s="28" t="str">
        <x:v>La bonne réponse est « À la mairie ». Pour une école publique, les parents effectuent d'abord l'inscription auprès de la mairie, puis présentent les documents demandés par l'établissement scolaire.</x:v>
      </x:c>
      <x:c r="M218" s="29" t="str">
        <x:v>École; Mairie; Inscription scolaire</x:v>
      </x:c>
    </x:row>
    <x:row r="219">
      <x:c r="A219" s="24" t="str">
        <x:v>MS-NAT-T5-011</x:v>
      </x:c>
      <x:c r="B219" s="25" t="str">
        <x:v>NAT-T5-011</x:v>
      </x:c>
      <x:c r="C219" s="25" t="str">
        <x:v>Vivre dans la société française</x:v>
      </x:c>
      <x:c r="D219" s="25" t="str">
        <x:v>🔴 Difficile</x:v>
      </x:c>
      <x:c r="E219" s="28" t="str">
        <x:v>Une famille récemment installée en France vous demande de l’aider à comprendre une règle pratique de la société française. Un proche pense que la bonne réponse pourrait être « Le père uniquement ». Aidez-le à raisonner.</x:v>
      </x:c>
      <x:c r="F219" s="28" t="str">
        <x:v>Après un divorce, qui exerce l'autorité parentale sur les enfants ?</x:v>
      </x:c>
      <x:c r="G219" s="28" t="str">
        <x:v>La mère uniquement.</x:v>
      </x:c>
      <x:c r="H219" s="28" t="str">
        <x:v>Le père uniquement.</x:v>
      </x:c>
      <x:c r="I219" s="28" t="str">
        <x:v>Les deux parents, sauf décision contraire du juge.</x:v>
      </x:c>
      <x:c r="J219" s="28" t="str">
        <x:v>Les grands-parents.</x:v>
      </x:c>
      <x:c r="K219" s="32" t="str">
        <x:v>C</x:v>
      </x:c>
      <x:c r="L219" s="28" t="str">
        <x:v>La bonne réponse est « Les deux parents, sauf décision contraire du juge ». Le divorce ne met pas fin à l'autorité parentale. En règle générale, les deux parents continuent à prendre ensemble les décisions importantes concernant leur enfant.</x:v>
      </x:c>
      <x:c r="M219" s="29" t="str">
        <x:v>Divorce; Autorité parentale; Parents</x:v>
      </x:c>
    </x:row>
    <x:row r="220">
      <x:c r="A220" s="24" t="str">
        <x:v>MS-NAT-T5-012</x:v>
      </x:c>
      <x:c r="B220" s="25" t="str">
        <x:v>NAT-T5-012</x:v>
      </x:c>
      <x:c r="C220" s="25" t="str">
        <x:v>Vivre dans la société française</x:v>
      </x:c>
      <x:c r="D220" s="25" t="str">
        <x:v>🔴 Difficile</x:v>
      </x:c>
      <x:c r="E220" s="28" t="str">
        <x:v>Au travail, à l’école, dans le logement ou dans le système de santé, un proche souhaite vérifier la bonne démarche. Dans le groupe, la réponse « France Travail » est avancée. Vous devez déterminer si elle est correcte.</x:v>
      </x:c>
      <x:c r="F220" s="28" t="str">
        <x:v>Quel dispositif permet, sous conditions de ressources, de prendre en charge les frais de justice, notamment les honoraires d'avocat ?</x:v>
      </x:c>
      <x:c r="G220" s="28" t="str">
        <x:v>La CAF.</x:v>
      </x:c>
      <x:c r="H220" s="28" t="str">
        <x:v>L'Assurance maladie.</x:v>
      </x:c>
      <x:c r="I220" s="28" t="str">
        <x:v>France Travail.</x:v>
      </x:c>
      <x:c r="J220" s="28" t="str">
        <x:v>L'aide juridictionnelle.</x:v>
      </x:c>
      <x:c r="K220" s="32" t="str">
        <x:v>D</x:v>
      </x:c>
      <x:c r="L220" s="28" t="str">
        <x:v>La bonne réponse est « L'aide juridictionnelle ». L'aide juridictionnelle permet, sous conditions de ressources, de prendre en charge tout ou partie des frais de justice, notamment les honoraires d'un avocat.</x:v>
      </x:c>
      <x:c r="M220" s="29" t="str">
        <x:v>Aide juridictionnelle; Justice; Avocat</x:v>
      </x:c>
    </x:row>
    <x:row r="221">
      <x:c r="A221" s="24" t="str">
        <x:v>MS-NAT-T5-013</x:v>
      </x:c>
      <x:c r="B221" s="25" t="str">
        <x:v>NAT-T5-013</x:v>
      </x:c>
      <x:c r="C221" s="25" t="str">
        <x:v>Vivre dans la société française</x:v>
      </x:c>
      <x:c r="D221" s="25" t="str">
        <x:v>🔴 Difficile</x:v>
      </x:c>
      <x:c r="E221" s="28" t="str">
        <x:v>Lors d’un échange dans un service public, une personne veut s’assurer qu’elle connaît la règle applicable à sa situation. Une personne hésite et choisit « Les enfants ». Vous l’aidez à retrouver la règle ou le repère juste.</x:v>
      </x:c>
      <x:c r="F221" s="28" t="str">
        <x:v>Qui peut demander le divorce en France ?</x:v>
      </x:c>
      <x:c r="G221" s="28" t="str">
        <x:v>L'un des deux époux ou les deux ensemble.</x:v>
      </x:c>
      <x:c r="H221" s="28" t="str">
        <x:v>Les enfants.</x:v>
      </x:c>
      <x:c r="I221" s="28" t="str">
        <x:v>Les parents.</x:v>
      </x:c>
      <x:c r="J221" s="28" t="str">
        <x:v>La mairie.</x:v>
      </x:c>
      <x:c r="K221" s="32" t="str">
        <x:v>A</x:v>
      </x:c>
      <x:c r="L221" s="28" t="str">
        <x:v>La bonne réponse est « L'un des deux époux ou les deux ensemble ». En France, un divorce peut être demandé par l'un des époux ou être engagé d'un commun accord selon les modalités prévues par la loi.</x:v>
      </x:c>
      <x:c r="M221" s="29" t="str">
        <x:v>Divorce; Époux; Famille</x:v>
      </x:c>
    </x:row>
    <x:row r="222">
      <x:c r="A222" s="24" t="str">
        <x:v>MS-NAT-T5-014</x:v>
      </x:c>
      <x:c r="B222" s="25" t="str">
        <x:v>NAT-T5-014</x:v>
      </x:c>
      <x:c r="C222" s="25" t="str">
        <x:v>Vivre dans la société française</x:v>
      </x:c>
      <x:c r="D222" s="25" t="str">
        <x:v>🔴 Difficile</x:v>
      </x:c>
      <x:c r="E222" s="28" t="str">
        <x:v>Dans une démarche de la vie quotidienne, une personne de votre entourage hésite sur la conduite à adopter en France. Un participant propose la réponse « France Travail ». Vous devez vérifier cette affirmation.</x:v>
      </x:c>
      <x:c r="F222" s="28" t="str">
        <x:v>Auprès de quel organisme demander le remboursement principal de ses frais de santé ?</x:v>
      </x:c>
      <x:c r="G222" s="28" t="str">
        <x:v>La CAF.</x:v>
      </x:c>
      <x:c r="H222" s="28" t="str">
        <x:v>Auprès de l'Assurance maladie (CPAM).</x:v>
      </x:c>
      <x:c r="I222" s="28" t="str">
        <x:v>France Travail.</x:v>
      </x:c>
      <x:c r="J222" s="28" t="str">
        <x:v>La mairie.</x:v>
      </x:c>
      <x:c r="K222" s="32" t="str">
        <x:v>B</x:v>
      </x:c>
      <x:c r="L222" s="28" t="str">
        <x:v>La bonne réponse est « Auprès de l'Assurance maladie (CPAM) ». L'Assurance maladie prend en charge une partie des dépenses de santé. Une mutuelle peut ensuite compléter ce remboursement.</x:v>
      </x:c>
      <x:c r="M222" s="29" t="str">
        <x:v>CPAM; Assurance maladie; Santé</x:v>
      </x:c>
    </x:row>
    <x:row r="223">
      <x:c r="A223" s="24" t="str">
        <x:v>MS-NAT-T5-015</x:v>
      </x:c>
      <x:c r="B223" s="25" t="str">
        <x:v>NAT-T5-015</x:v>
      </x:c>
      <x:c r="C223" s="25" t="str">
        <x:v>Vivre dans la société française</x:v>
      </x:c>
      <x:c r="D223" s="25" t="str">
        <x:v>🟡 Intermédiaire</x:v>
      </x:c>
      <x:c r="E223" s="28" t="str">
        <x:v>Une famille récemment installée en France vous demande de l’aider à comprendre une règle pratique de la société française. Un proche pense que la bonne réponse pourrait être « Interdite aux mineurs ». Aidez-le à raisonner.</x:v>
      </x:c>
      <x:c r="F223" s="28" t="str">
        <x:v>En France, la contraception est :</x:v>
      </x:c>
      <x:c r="G223" s="28" t="str">
        <x:v>Réservée aux personnes mariées.</x:v>
      </x:c>
      <x:c r="H223" s="28" t="str">
        <x:v>Soumise à l'accord du conjoint.</x:v>
      </x:c>
      <x:c r="I223" s="28" t="str">
        <x:v>Un choix personnel et un droit, accessible aux femmes comme aux hommes.</x:v>
      </x:c>
      <x:c r="J223" s="28" t="str">
        <x:v>Interdite aux mineurs.</x:v>
      </x:c>
      <x:c r="K223" s="32" t="str">
        <x:v>C</x:v>
      </x:c>
      <x:c r="L223" s="28" t="str">
        <x:v>La bonne réponse est « Un choix personnel et un droit, accessible aux femmes comme aux hommes ». La contraception est un droit et dépend du choix de chacun. Différents moyens existent pour prévenir une grossesse, et certains sont accessibles aux mineurs dans le respect de la confidentialité. Elle est même gratuite pour les moins de 26 ans.</x:v>
      </x:c>
      <x:c r="M223" s="29" t="str">
        <x:v>Contraception; Santé; Prévention</x:v>
      </x:c>
    </x:row>
    <x:row r="224">
      <x:c r="A224" s="24" t="str">
        <x:v>MS-NAT-T5-016</x:v>
      </x:c>
      <x:c r="B224" s="25" t="str">
        <x:v>NAT-T5-016</x:v>
      </x:c>
      <x:c r="C224" s="25" t="str">
        <x:v>Vivre dans la société française</x:v>
      </x:c>
      <x:c r="D224" s="25" t="str">
        <x:v>🔴 Difficile</x:v>
      </x:c>
      <x:c r="E224" s="28" t="str">
        <x:v>Au travail, à l’école, dans le logement ou dans le système de santé, un proche souhaite vérifier la bonne démarche. Dans le groupe, la réponse « Tout le monde peut consulter un dossier médical » est avancée. Vous devez déterminer si elle est correcte.</x:v>
      </x:c>
      <x:c r="F224" s="28" t="str">
        <x:v>Que garantit le secret médical ?</x:v>
      </x:c>
      <x:c r="G224" s="28" t="str">
        <x:v>Tout le monde peut consulter un dossier médical.</x:v>
      </x:c>
      <x:c r="H224" s="28" t="str">
        <x:v>Le médecin doit informer l'employeur.</x:v>
      </x:c>
      <x:c r="I224" s="28" t="str">
        <x:v>Les informations sont publiques.</x:v>
      </x:c>
      <x:c r="J224" s="28" t="str">
        <x:v>Les informations médicales sont protégées et ne peuvent être divulguées sans l'accord du patient, sauf exceptions prévues par la loi.</x:v>
      </x:c>
      <x:c r="K224" s="32" t="str">
        <x:v>D</x:v>
      </x:c>
      <x:c r="L224" s="28" t="str">
        <x:v>La bonne réponse est « Les informations médicales sont protégées et ne peuvent être divulguées sans l'accord du patient, sauf exceptions prévues par la loi ». En France, le secret médical protège la vie privée des patients. Les professionnels de santé sont tenus à une obligation de confidentialité.</x:v>
      </x:c>
      <x:c r="M224" s="29" t="str">
        <x:v>Secret médical; Confidentialité; Santé; Patient</x:v>
      </x:c>
    </x:row>
    <x:row r="225">
      <x:c r="A225" s="24" t="str">
        <x:v>MS-NAT-T5-017</x:v>
      </x:c>
      <x:c r="B225" s="25" t="str">
        <x:v>NAT-T5-017</x:v>
      </x:c>
      <x:c r="C225" s="25" t="str">
        <x:v>Vivre dans la société française</x:v>
      </x:c>
      <x:c r="D225" s="25" t="str">
        <x:v>🔴 Difficile</x:v>
      </x:c>
      <x:c r="E225" s="28" t="str">
        <x:v>Lors d’un échange dans un service public, une personne veut s’assurer qu’elle connaît la règle applicable à sa situation. Une personne hésite et choisit « À voter ». Vous l’aidez à retrouver la règle ou le repère juste.</x:v>
      </x:c>
      <x:c r="F225" s="28" t="str">
        <x:v>À quoi sert la carte Vitale ?</x:v>
      </x:c>
      <x:c r="G225" s="28" t="str">
        <x:v>À faciliter la prise en charge et le remboursement des frais de santé.</x:v>
      </x:c>
      <x:c r="H225" s="28" t="str">
        <x:v>À payer les impôts.</x:v>
      </x:c>
      <x:c r="I225" s="28" t="str">
        <x:v>À voter.</x:v>
      </x:c>
      <x:c r="J225" s="28" t="str">
        <x:v>À conduire.</x:v>
      </x:c>
      <x:c r="K225" s="32" t="str">
        <x:v>A</x:v>
      </x:c>
      <x:c r="L225" s="28" t="str">
        <x:v>La bonne réponse est « À faciliter la prise en charge et le remboursement des frais de santé ». La carte Vitale contient les informations nécessaires à l'Assurance maladie pour assurer le remboursement rapide des dépenses de santé.</x:v>
      </x:c>
      <x:c r="M225" s="29" t="str">
        <x:v>Carte Vitale; Assurance maladie; Remboursement</x:v>
      </x:c>
    </x:row>
    <x:row r="226">
      <x:c r="A226" s="24" t="str">
        <x:v>MS-NAT-T5-018</x:v>
      </x:c>
      <x:c r="B226" s="25" t="str">
        <x:v>NAT-T5-018</x:v>
      </x:c>
      <x:c r="C226" s="25" t="str">
        <x:v>Vivre dans la société française</x:v>
      </x:c>
      <x:c r="D226" s="25" t="str">
        <x:v>🔴 Difficile</x:v>
      </x:c>
      <x:c r="E226" s="28" t="str">
        <x:v>Dans une démarche de la vie quotidienne, une personne de votre entourage hésite sur la conduite à adopter en France. Un participant propose la réponse « Elle soigne les patients ». Vous devez vérifier cette affirmation.</x:v>
      </x:c>
      <x:c r="F226" s="28" t="str">
        <x:v>Quel est le rôle d'une mutuelle santé ?</x:v>
      </x:c>
      <x:c r="G226" s="28" t="str">
        <x:v>Elle remplace la CPAM.</x:v>
      </x:c>
      <x:c r="H226" s="28" t="str">
        <x:v>À compléter les remboursements de l'Assurance maladie.</x:v>
      </x:c>
      <x:c r="I226" s="28" t="str">
        <x:v>Elle délivre la carte Vitale.</x:v>
      </x:c>
      <x:c r="J226" s="28" t="str">
        <x:v>Elle soigne les patients.</x:v>
      </x:c>
      <x:c r="K226" s="32" t="str">
        <x:v>B</x:v>
      </x:c>
      <x:c r="L226" s="28" t="str">
        <x:v>La bonne réponse est « À compléter les remboursements de l'Assurance maladie ». La mutuelle santé, ou complémentaire santé, rembourse tout ou partie des dépenses qui restent à la charge du patient après le remboursement de l'Assurance maladie.</x:v>
      </x:c>
      <x:c r="M226" s="29" t="str">
        <x:v>Mutuelle; Complémentaire santé; Remboursement</x:v>
      </x:c>
    </x:row>
    <x:row r="227">
      <x:c r="A227" s="24" t="str">
        <x:v>MS-NAT-T5-019</x:v>
      </x:c>
      <x:c r="B227" s="25" t="str">
        <x:v>NAT-T5-019</x:v>
      </x:c>
      <x:c r="C227" s="25" t="str">
        <x:v>Vivre dans la société française</x:v>
      </x:c>
      <x:c r="D227" s="25" t="str">
        <x:v>🔴 Difficile</x:v>
      </x:c>
      <x:c r="E227" s="28" t="str">
        <x:v>Une famille récemment installée en France vous demande de l’aider à comprendre une règle pratique de la société française. Un proche pense que la bonne réponse pourrait être « Les soins sont toujours gratuits ». Aidez-le à raisonner.</x:v>
      </x:c>
      <x:c r="F227" s="28" t="str">
        <x:v>Qu'est-ce que le tiers payant ?</x:v>
      </x:c>
      <x:c r="G227" s="28" t="str">
        <x:v>Les soins sont toujours gratuits.</x:v>
      </x:c>
      <x:c r="H227" s="28" t="str">
        <x:v>Le médecin travaille gratuitement.</x:v>
      </x:c>
      <x:c r="I227" s="28" t="str">
        <x:v>Le patient n'avance pas tout ou partie des frais de santé.</x:v>
      </x:c>
      <x:c r="J227" s="28" t="str">
        <x:v>La mutuelle devient obligatoire.</x:v>
      </x:c>
      <x:c r="K227" s="32" t="str">
        <x:v>C</x:v>
      </x:c>
      <x:c r="L227" s="28" t="str">
        <x:v>La bonne réponse est « Le patient n'avance pas tout ou partie des frais de santé ». Le tiers payant permet au patient de ne pas avancer tout ou partie des frais médicaux lors d'une consultation ou d'un achat en pharmacie.</x:v>
      </x:c>
      <x:c r="M227" s="29" t="str">
        <x:v>Tiers payant; Santé; Assurance maladie; Mutuelle</x:v>
      </x:c>
    </x:row>
    <x:row r="228">
      <x:c r="A228" s="24" t="str">
        <x:v>MS-NAT-T5-020</x:v>
      </x:c>
      <x:c r="B228" s="25" t="str">
        <x:v>NAT-T5-020</x:v>
      </x:c>
      <x:c r="C228" s="25" t="str">
        <x:v>Vivre dans la société française</x:v>
      </x:c>
      <x:c r="D228" s="25" t="str">
        <x:v>🟡 Intermédiaire</x:v>
      </x:c>
      <x:c r="E228" s="28" t="str">
        <x:v>Au travail, à l’école, dans le logement ou dans le système de santé, un proche souhaite vérifier la bonne démarche. Dans le groupe, la réponse « Réservée aux salariés » est avancée. Vous devez déterminer si elle est correcte.</x:v>
      </x:c>
      <x:c r="F228" s="28" t="str">
        <x:v>L'affiliation à l'Assurance maladie est :</x:v>
      </x:c>
      <x:c r="G228" s="28" t="str">
        <x:v>Facultative pour tous.</x:v>
      </x:c>
      <x:c r="H228" s="28" t="str">
        <x:v>Réservée aux salariés.</x:v>
      </x:c>
      <x:c r="I228" s="28" t="str">
        <x:v>Réservée aux personnes âgées.</x:v>
      </x:c>
      <x:c r="J228" s="28" t="str">
        <x:v>Obligatoire pour tous les résidents français réguliers.</x:v>
      </x:c>
      <x:c r="K228" s="32" t="str">
        <x:v>D</x:v>
      </x:c>
      <x:c r="L228" s="28" t="str">
        <x:v>La bonne réponse est « Obligatoire pour tous les résidents français réguliers ». Toute personne qui réside ou travaille en France de manière stable et régulière peut bénéficier de l'Assurance maladie selon les règles en vigueur. L'affiliation est une étape essentielle pour accéder à la prise en charge des soins.</x:v>
      </x:c>
      <x:c r="M228" s="29" t="str">
        <x:v>Assurance maladie; Protection sociale; CPAM</x:v>
      </x:c>
    </x:row>
    <x:row r="229">
      <x:c r="A229" s="24" t="str">
        <x:v>MS-NAT-T5-021</x:v>
      </x:c>
      <x:c r="B229" s="25" t="str">
        <x:v>NAT-T5-021</x:v>
      </x:c>
      <x:c r="C229" s="25" t="str">
        <x:v>Vivre dans la société française</x:v>
      </x:c>
      <x:c r="D229" s="25" t="str">
        <x:v>🟢 Facile</x:v>
      </x:c>
      <x:c r="E229" s="28" t="str">
        <x:v>Lors d’un échange dans un service public, une personne veut s’assurer qu’elle connaît la règle applicable à sa situation. Une personne hésite et choisit « Seulement avec l'accord du mari ». Vous l’aidez à retrouver la règle ou le repère juste.</x:v>
      </x:c>
      <x:c r="F229" s="28" t="str">
        <x:v>Une femme a-t-elle le droit de recourir à une interruption volontaire de grossesse (IVG) en France ?</x:v>
      </x:c>
      <x:c r="G229" s="28" t="str">
        <x:v>Oui, dans les conditions prévues par la loi.</x:v>
      </x:c>
      <x:c r="H229" s="28" t="str">
        <x:v>Non.</x:v>
      </x:c>
      <x:c r="I229" s="28" t="str">
        <x:v>Seulement pour les personnes mariées.</x:v>
      </x:c>
      <x:c r="J229" s="28" t="str">
        <x:v>Seulement avec l'accord du mari.</x:v>
      </x:c>
      <x:c r="K229" s="32" t="str">
        <x:v>A</x:v>
      </x:c>
      <x:c r="L229" s="28" t="str">
        <x:v>La bonne réponse est « Oui, dans les conditions prévues par la loi ». En France, les femmes ont le droit de recourir à une IVG dans les conditions prévues par la loi. Depuis 2024, la liberté garantie à la femme de recourir à l'IVG est inscrite dans la Constitution.</x:v>
      </x:c>
      <x:c r="M229" s="29" t="str">
        <x:v>IVG; Santé; Droits; Constitution</x:v>
      </x:c>
    </x:row>
    <x:row r="230">
      <x:c r="A230" s="24" t="str">
        <x:v>MS-NAT-T5-022</x:v>
      </x:c>
      <x:c r="B230" s="25" t="str">
        <x:v>NAT-T5-022</x:v>
      </x:c>
      <x:c r="C230" s="25" t="str">
        <x:v>Vivre dans la société française</x:v>
      </x:c>
      <x:c r="D230" s="25" t="str">
        <x:v>🔴 Difficile</x:v>
      </x:c>
      <x:c r="E230" s="28" t="str">
        <x:v>Dans une démarche de la vie quotidienne, une personne de votre entourage hésite sur la conduite à adopter en France. Un participant propose la réponse « Autorisé ». Vous devez vérifier cette affirmation.</x:v>
      </x:c>
      <x:c r="F230" s="28" t="str">
        <x:v>Le travail non déclaré (« au noir ») est :</x:v>
      </x:c>
      <x:c r="G230" s="28" t="str">
        <x:v>Autorisé.</x:v>
      </x:c>
      <x:c r="H230" s="28" t="str">
        <x:v>Illégal (travail dissimulé).</x:v>
      </x:c>
      <x:c r="I230" s="28" t="str">
        <x:v>Toléré.</x:v>
      </x:c>
      <x:c r="J230" s="28" t="str">
        <x:v>Normal.</x:v>
      </x:c>
      <x:c r="K230" s="32" t="str">
        <x:v>B</x:v>
      </x:c>
      <x:c r="L230" s="28" t="str">
        <x:v>La bonne réponse est « Illégal (travail dissimulé) ». Le travail non déclaré, aussi appelé travail dissimulé, est interdit par la loi. Il prive le salarié de nombreux droits (protection sociale, retraite, assurance chômage...) et expose l'employeur à des sanctions.</x:v>
      </x:c>
      <x:c r="M230" s="29" t="str">
        <x:v>Travail dissimulé; Travail au noir; Illégal</x:v>
      </x:c>
    </x:row>
    <x:row r="231">
      <x:c r="A231" s="24" t="str">
        <x:v>MS-NAT-T5-023</x:v>
      </x:c>
      <x:c r="B231" s="25" t="str">
        <x:v>NAT-T5-023</x:v>
      </x:c>
      <x:c r="C231" s="25" t="str">
        <x:v>Vivre dans la société française</x:v>
      </x:c>
      <x:c r="D231" s="25" t="str">
        <x:v>🔴 Difficile</x:v>
      </x:c>
      <x:c r="E231" s="28" t="str">
        <x:v>Une famille récemment installée en France vous demande de l’aider à comprendre une règle pratique de la société française. Un proche pense que la bonne réponse pourrait être « Une allocation chômage ». Aidez-le à raisonner.</x:v>
      </x:c>
      <x:c r="F231" s="28" t="str">
        <x:v>Qu'est-ce que le SMIC ?</x:v>
      </x:c>
      <x:c r="G231" s="28" t="str">
        <x:v>Une aide sociale.</x:v>
      </x:c>
      <x:c r="H231" s="28" t="str">
        <x:v>Une allocation chômage.</x:v>
      </x:c>
      <x:c r="I231" s="28" t="str">
        <x:v>Le salaire minimum légal.</x:v>
      </x:c>
      <x:c r="J231" s="28" t="str">
        <x:v>Une prime.</x:v>
      </x:c>
      <x:c r="K231" s="32" t="str">
        <x:v>C</x:v>
      </x:c>
      <x:c r="L231" s="28" t="str">
        <x:v>La bonne réponse est « Le salaire minimum légal ». Le SMIC (Salaire minimum interprofessionnel de croissance) fixe le salaire horaire minimum qu'un employeur doit verser à un salarié, sauf exceptions prévues par la loi.</x:v>
      </x:c>
      <x:c r="M231" s="29" t="str">
        <x:v>SMIC; Salaire; Travail</x:v>
      </x:c>
    </x:row>
    <x:row r="232">
      <x:c r="A232" s="24" t="str">
        <x:v>MS-NAT-T5-024</x:v>
      </x:c>
      <x:c r="B232" s="25" t="str">
        <x:v>NAT-T5-024</x:v>
      </x:c>
      <x:c r="C232" s="25" t="str">
        <x:v>Vivre dans la société française</x:v>
      </x:c>
      <x:c r="D232" s="25" t="str">
        <x:v>🔴 Difficile</x:v>
      </x:c>
      <x:c r="E232" s="28" t="str">
        <x:v>Au travail, à l’école, dans le logement ou dans le système de santé, un proche souhaite vérifier la bonne démarche. Dans le groupe, la réponse « Aller à la CPAM » est avancée. Vous devez déterminer si elle est correcte.</x:v>
      </x:c>
      <x:c r="F232" s="28" t="str">
        <x:v>Quelle est la première démarche pour chercher un emploi ?</x:v>
      </x:c>
      <x:c r="G232" s="28" t="str">
        <x:v>Aller à la mairie.</x:v>
      </x:c>
      <x:c r="H232" s="28" t="str">
        <x:v>Aller à la CAF.</x:v>
      </x:c>
      <x:c r="I232" s="28" t="str">
        <x:v>Aller à la CPAM.</x:v>
      </x:c>
      <x:c r="J232" s="28" t="str">
        <x:v>S'inscrire à France Travail.</x:v>
      </x:c>
      <x:c r="K232" s="32" t="str">
        <x:v>D</x:v>
      </x:c>
      <x:c r="L232" s="28" t="str">
        <x:v>La bonne réponse est « S'inscrire à France Travail ». France Travail accompagne les demandeurs d'emploi dans leurs recherches, propose des offres d'emploi, des formations et peut verser les allocations chômage sous certaines conditions.</x:v>
      </x:c>
      <x:c r="M232" s="29" t="str">
        <x:v>France Travail; Emploi; Recherche d'emploi</x:v>
      </x:c>
    </x:row>
    <x:row r="233">
      <x:c r="A233" s="24" t="str">
        <x:v>MS-NAT-T5-025</x:v>
      </x:c>
      <x:c r="B233" s="25" t="str">
        <x:v>NAT-T5-025</x:v>
      </x:c>
      <x:c r="C233" s="25" t="str">
        <x:v>Vivre dans la société française</x:v>
      </x:c>
      <x:c r="D233" s="25" t="str">
        <x:v>🔴 Difficile</x:v>
      </x:c>
      <x:c r="E233" s="28" t="str">
        <x:v>Lors d’un échange dans un service public, une personne veut s’assurer qu’elle connaît la règle applicable à sa situation. Une personne hésite et choisit « 39 heures ». Vous l’aidez à retrouver la règle ou le repère juste.</x:v>
      </x:c>
      <x:c r="F233" s="28" t="str">
        <x:v>Quelle est la durée légale du travail en France ?</x:v>
      </x:c>
      <x:c r="G233" s="28" t="str">
        <x:v>35 heures.</x:v>
      </x:c>
      <x:c r="H233" s="28" t="str">
        <x:v>39 heures.</x:v>
      </x:c>
      <x:c r="I233" s="28" t="str">
        <x:v>40 heures.</x:v>
      </x:c>
      <x:c r="J233" s="28" t="str">
        <x:v>30 heures.</x:v>
      </x:c>
      <x:c r="K233" s="32" t="str">
        <x:v>A</x:v>
      </x:c>
      <x:c r="L233" s="28" t="str">
        <x:v>La bonne réponse est « 35 heures ». En France, la durée légale du travail est fixée à 35 heures par semaine pour un salarié à temps complet. Des heures supplémentaires peuvent être effectuées dans les conditions prévues par la loi.</x:v>
      </x:c>
      <x:c r="M233" s="29" t="str">
        <x:v>35 heures; Travail; Temps de travail</x:v>
      </x:c>
    </x:row>
    <x:row r="234">
      <x:c r="A234" s="24" t="str">
        <x:v>MS-NAT-T5-026</x:v>
      </x:c>
      <x:c r="B234" s="25" t="str">
        <x:v>NAT-T5-026</x:v>
      </x:c>
      <x:c r="C234" s="25" t="str">
        <x:v>Vivre dans la société française</x:v>
      </x:c>
      <x:c r="D234" s="25" t="str">
        <x:v>🔴 Difficile</x:v>
      </x:c>
      <x:c r="E234" s="28" t="str">
        <x:v>Dans une démarche de la vie quotidienne, une personne de votre entourage hésite sur la conduite à adopter en France. Un participant propose la réponse « Seulement le père ». Vous devez vérifier cette affirmation.</x:v>
      </x:c>
      <x:c r="F234" s="28" t="str">
        <x:v>Qui peut demander un congé parental d'éducation ?</x:v>
      </x:c>
      <x:c r="G234" s="28" t="str">
        <x:v>Seulement la mère.</x:v>
      </x:c>
      <x:c r="H234" s="28" t="str">
        <x:v>Le père ou la mère (les deux parents peuvent en bénéficier).</x:v>
      </x:c>
      <x:c r="I234" s="28" t="str">
        <x:v>Seulement le père.</x:v>
      </x:c>
      <x:c r="J234" s="28" t="str">
        <x:v>Les grands-parents.</x:v>
      </x:c>
      <x:c r="K234" s="32" t="str">
        <x:v>B</x:v>
      </x:c>
      <x:c r="L234" s="28" t="str">
        <x:v>La bonne réponse est « Le père ou la mère (les deux parents peuvent en bénéficier) ». Le congé parental d'éducation permet à un salarié de suspendre ou réduire son activité pour s'occuper de son enfant. Il est accessible au père comme à la mère.</x:v>
      </x:c>
      <x:c r="M234" s="29" t="str">
        <x:v>Congé parental; Parents; Travail</x:v>
      </x:c>
    </x:row>
    <x:row r="235">
      <x:c r="A235" s="24" t="str">
        <x:v>MS-NAT-T5-027</x:v>
      </x:c>
      <x:c r="B235" s="25" t="str">
        <x:v>NAT-T5-027</x:v>
      </x:c>
      <x:c r="C235" s="25" t="str">
        <x:v>Vivre dans la société française</x:v>
      </x:c>
      <x:c r="D235" s="25" t="str">
        <x:v>🟢 Facile</x:v>
      </x:c>
      <x:c r="E235" s="28" t="str">
        <x:v>Une famille récemment installée en France vous demande de l’aider à comprendre une règle pratique de la société française. Un proche pense que la bonne réponse pourrait être « Seulement les citoyens européens ». Aidez-le à raisonner.</x:v>
      </x:c>
      <x:c r="F235" s="28" t="str">
        <x:v>Une personne étrangère en situation régulière peut-elle créer une entreprise en France ?</x:v>
      </x:c>
      <x:c r="G235" s="28" t="str">
        <x:v>Non.</x:v>
      </x:c>
      <x:c r="H235" s="28" t="str">
        <x:v>Seulement les Français.</x:v>
      </x:c>
      <x:c r="I235" s="28" t="str">
        <x:v>Oui, si la personne est en situation régulière.</x:v>
      </x:c>
      <x:c r="J235" s="28" t="str">
        <x:v>Seulement les citoyens européens.</x:v>
      </x:c>
      <x:c r="K235" s="32" t="str">
        <x:v>C</x:v>
      </x:c>
      <x:c r="L235" s="28" t="str">
        <x:v>La bonne réponse est « Oui, si la personne est en situation régulière ». La création d'entreprise est ouverte aux personnes étrangères en situation régulière, selon leur titre de séjour et les règles applicables.</x:v>
      </x:c>
      <x:c r="M235" s="29" t="str">
        <x:v>Entreprise; Entrepreneuriat; Travail</x:v>
      </x:c>
    </x:row>
    <x:row r="236">
      <x:c r="A236" s="24" t="str">
        <x:v>MS-NAT-T5-028</x:v>
      </x:c>
      <x:c r="B236" s="25" t="str">
        <x:v>NAT-T5-028</x:v>
      </x:c>
      <x:c r="C236" s="25" t="str">
        <x:v>Vivre dans la société française</x:v>
      </x:c>
      <x:c r="D236" s="25" t="str">
        <x:v>🟡 Intermédiaire</x:v>
      </x:c>
      <x:c r="E236" s="28" t="str">
        <x:v>Au travail, à l’école, dans le logement ou dans le système de santé, un proche souhaite vérifier la bonne démarche. Dans le groupe, la réponse « Non » est avancée. Vous devez déterminer si elle est correcte.</x:v>
      </x:c>
      <x:c r="F236" s="28" t="str">
        <x:v>Une femme peut-elle créer une entreprise en France ?</x:v>
      </x:c>
      <x:c r="G236" s="28" t="str">
        <x:v>Non.</x:v>
      </x:c>
      <x:c r="H236" s="28" t="str">
        <x:v>Seulement avec l'accord de son mari.</x:v>
      </x:c>
      <x:c r="I236" s="28" t="str">
        <x:v>Seulement après 30 ans.</x:v>
      </x:c>
      <x:c r="J236" s="28" t="str">
        <x:v>Oui.</x:v>
      </x:c>
      <x:c r="K236" s="32" t="str">
        <x:v>D</x:v>
      </x:c>
      <x:c r="L236" s="28" t="str">
        <x:v>La bonne réponse est « Oui ». En France, les femmes disposent des mêmes droits que les hommes pour créer une entreprise et exercer une activité professionnelle.</x:v>
      </x:c>
      <x:c r="M236" s="29" t="str">
        <x:v>Entreprise; Égalité; Femmes; Travail</x:v>
      </x:c>
    </x:row>
    <x:row r="237">
      <x:c r="A237" s="24" t="str">
        <x:v>MS-NAT-T5-029</x:v>
      </x:c>
      <x:c r="B237" s="25" t="str">
        <x:v>NAT-T5-029</x:v>
      </x:c>
      <x:c r="C237" s="25" t="str">
        <x:v>Vivre dans la société française</x:v>
      </x:c>
      <x:c r="D237" s="25" t="str">
        <x:v>🔴 Difficile</x:v>
      </x:c>
      <x:c r="E237" s="28" t="str">
        <x:v>Lors d’un échange dans un service public, une personne veut s’assurer qu’elle connaît la règle applicable à sa situation. Une personne hésite et choisit « La Constitution uniquement ». Vous l’aidez à retrouver la règle ou le repère juste.</x:v>
      </x:c>
      <x:c r="F237" s="28" t="str">
        <x:v>Quels textes fixent les règles applicables aux salariés en France ?</x:v>
      </x:c>
      <x:c r="G237" s="28" t="str">
        <x:v>Le Code du travail et les conventions collectives.</x:v>
      </x:c>
      <x:c r="H237" s="28" t="str">
        <x:v>Le Code de la route.</x:v>
      </x:c>
      <x:c r="I237" s="28" t="str">
        <x:v>La Constitution uniquement.</x:v>
      </x:c>
      <x:c r="J237" s="28" t="str">
        <x:v>Le règlement intérieur uniquement.</x:v>
      </x:c>
      <x:c r="K237" s="32" t="str">
        <x:v>A</x:v>
      </x:c>
      <x:c r="L237" s="28" t="str">
        <x:v>La bonne réponse est « Le Code du travail et les conventions collectives ». Le Code du travail fixe les règles générales applicables aux salariés. Les conventions collectives peuvent prévoir des dispositions plus favorables selon les professions.</x:v>
      </x:c>
      <x:c r="M237" s="29" t="str">
        <x:v>Code du travail; Convention collective; Travail</x:v>
      </x:c>
    </x:row>
    <x:row r="238">
      <x:c r="A238" s="24" t="str">
        <x:v>MS-NAT-T5-030</x:v>
      </x:c>
      <x:c r="B238" s="25" t="str">
        <x:v>NAT-T5-030</x:v>
      </x:c>
      <x:c r="C238" s="25" t="str">
        <x:v>Vivre dans la société française</x:v>
      </x:c>
      <x:c r="D238" s="25" t="str">
        <x:v>🔴 Difficile</x:v>
      </x:c>
      <x:c r="E238" s="28" t="str">
        <x:v>Dans une démarche de la vie quotidienne, une personne de votre entourage hésite sur la conduite à adopter en France. Un participant propose la réponse « Les conflits entre voisins ». Vous devez vérifier cette affirmation.</x:v>
      </x:c>
      <x:c r="F238" s="28" t="str">
        <x:v>Quel type de litige le conseil de prud'hommes traite-t-il ?</x:v>
      </x:c>
      <x:c r="G238" s="28" t="str">
        <x:v>Les divorces.</x:v>
      </x:c>
      <x:c r="H238" s="28" t="str">
        <x:v>Les conflits entre employeurs et salariés.</x:v>
      </x:c>
      <x:c r="I238" s="28" t="str">
        <x:v>Les affaires pénales.</x:v>
      </x:c>
      <x:c r="J238" s="28" t="str">
        <x:v>Les conflits entre voisins.</x:v>
      </x:c>
      <x:c r="K238" s="32" t="str">
        <x:v>B</x:v>
      </x:c>
      <x:c r="L238" s="28" t="str">
        <x:v>La bonne réponse est « Les conflits entre employeurs et salariés ». Le conseil de prud'hommes est une juridiction spécialisée qui traite les conflits individuels entre employeurs et salariés (licenciement, salaire, contrat de travail, etc.).</x:v>
      </x:c>
      <x:c r="M238" s="29" t="str">
        <x:v>Prud'hommes; Employeur; Salarié; Contrat de travail</x:v>
      </x:c>
    </x:row>
    <x:row r="239">
      <x:c r="A239" s="24" t="str">
        <x:v>MS-NAT-T5-031</x:v>
      </x:c>
      <x:c r="B239" s="25" t="str">
        <x:v>NAT-T5-031</x:v>
      </x:c>
      <x:c r="C239" s="25" t="str">
        <x:v>Vivre dans la société française</x:v>
      </x:c>
      <x:c r="D239" s="25" t="str">
        <x:v>🔴 Difficile</x:v>
      </x:c>
      <x:c r="E239" s="28" t="str">
        <x:v>Une famille récemment installée en France vous demande de l’aider à comprendre une règle pratique de la société française. Un proche pense que la bonne réponse pourrait être « Seulement les fonctionnaires ». Aidez-le à raisonner.</x:v>
      </x:c>
      <x:c r="F239" s="28" t="str">
        <x:v>Qui peut adhérer à un syndicat en France ?</x:v>
      </x:c>
      <x:c r="G239" s="28" t="str">
        <x:v>Seulement les fonctionnaires.</x:v>
      </x:c>
      <x:c r="H239" s="28" t="str">
        <x:v>Seulement les cadres.</x:v>
      </x:c>
      <x:c r="I239" s="28" t="str">
        <x:v>Tous les salariés.</x:v>
      </x:c>
      <x:c r="J239" s="28" t="str">
        <x:v>Uniquement les Français.</x:v>
      </x:c>
      <x:c r="K239" s="32" t="str">
        <x:v>C</x:v>
      </x:c>
      <x:c r="L239" s="28" t="str">
        <x:v>La bonne réponse est « Tous les salariés ». La liberté syndicale est un droit fondamental. Les salariés peuvent adhérer à un syndicat pour défendre leurs intérêts professionnels.</x:v>
      </x:c>
      <x:c r="M239" s="29" t="str">
        <x:v>Syndicat; Salarié; Liberté syndicale</x:v>
      </x:c>
    </x:row>
    <x:row r="240">
      <x:c r="A240" s="24" t="str">
        <x:v>MS-NAT-T5-032</x:v>
      </x:c>
      <x:c r="B240" s="25" t="str">
        <x:v>NAT-T5-032</x:v>
      </x:c>
      <x:c r="C240" s="25" t="str">
        <x:v>Vivre dans la société française</x:v>
      </x:c>
      <x:c r="D240" s="25" t="str">
        <x:v>🔴 Difficile</x:v>
      </x:c>
      <x:c r="E240" s="28" t="str">
        <x:v>Au travail, à l’école, dans le logement ou dans le système de santé, un proche souhaite vérifier la bonne démarche. Dans le groupe, la réponse « Oui, si l'employeur le souhaite » est avancée. Vous devez déterminer si elle est correcte.</x:v>
      </x:c>
      <x:c r="F240" s="28" t="str">
        <x:v>Un employeur peut-il licencier une salariée en raison de sa grossesse ?</x:v>
      </x:c>
      <x:c r="G240" s="28" t="str">
        <x:v>Oui.</x:v>
      </x:c>
      <x:c r="H240" s="28" t="str">
        <x:v>Oui, si l'employeur le souhaite.</x:v>
      </x:c>
      <x:c r="I240" s="28" t="str">
        <x:v>Oui, automatiquement.</x:v>
      </x:c>
      <x:c r="J240" s="28" t="str">
        <x:v>Non, la salariée est protégée contre le licenciement pendant sa grossesse.</x:v>
      </x:c>
      <x:c r="K240" s="32" t="str">
        <x:v>D</x:v>
      </x:c>
      <x:c r="L240" s="28" t="str">
        <x:v>La bonne réponse est « Non, la salariée est protégée contre le licenciement pendant sa grossesse ». En France, une salariée bénéficie d'une protection contre le licenciement pendant sa grossesse et son congé maternité. Son employeur ne peut pas la licencier en raison de sa grossesse.</x:v>
      </x:c>
      <x:c r="M240" s="29" t="str">
        <x:v>Grossesse; Congé maternité; Licenciement; Protection</x:v>
      </x:c>
    </x:row>
    <x:row r="241">
      <x:c r="A241" s="24" t="str">
        <x:v>MS-NAT-T5-033</x:v>
      </x:c>
      <x:c r="B241" s="25" t="str">
        <x:v>NAT-T5-033</x:v>
      </x:c>
      <x:c r="C241" s="25" t="str">
        <x:v>Vivre dans la société française</x:v>
      </x:c>
      <x:c r="D241" s="25" t="str">
        <x:v>🔴 Difficile</x:v>
      </x:c>
      <x:c r="E241" s="28" t="str">
        <x:v>Lors d’un échange dans un service public, une personne veut s’assurer qu’elle connaît la règle applicable à sa situation. Une personne hésite et choisit « De 5 à 15 ans ». Vous l’aidez à retrouver la règle ou le repère juste.</x:v>
      </x:c>
      <x:c r="F241" s="28" t="str">
        <x:v>Entre quels âges l'instruction est-elle obligatoire en France ?</x:v>
      </x:c>
      <x:c r="G241" s="28" t="str">
        <x:v>De 3 ans à 16 ans.</x:v>
      </x:c>
      <x:c r="H241" s="28" t="str">
        <x:v>De 6 à 16 ans.</x:v>
      </x:c>
      <x:c r="I241" s="28" t="str">
        <x:v>De 3 à 18 ans.</x:v>
      </x:c>
      <x:c r="J241" s="28" t="str">
        <x:v>De 5 à 15 ans.</x:v>
      </x:c>
      <x:c r="K241" s="32" t="str">
        <x:v>A</x:v>
      </x:c>
      <x:c r="L241" s="28" t="str">
        <x:v>La bonne réponse est « De 3 ans à 16 ans ». Depuis 2019, l'instruction est obligatoire pour tous les enfants de 3 ans à 16 ans, que celle-ci soit suivie à l'école ou dans un autre cadre autorisé par la loi.</x:v>
      </x:c>
      <x:c r="M241" s="29" t="str">
        <x:v>Instruction; École; 3 ans; 16 ans</x:v>
      </x:c>
    </x:row>
    <x:row r="242">
      <x:c r="A242" s="24" t="str">
        <x:v>MS-NAT-T5-034</x:v>
      </x:c>
      <x:c r="B242" s="25" t="str">
        <x:v>NAT-T5-034</x:v>
      </x:c>
      <x:c r="C242" s="25" t="str">
        <x:v>Vivre dans la société française</x:v>
      </x:c>
      <x:c r="D242" s="25" t="str">
        <x:v>🔴 Difficile</x:v>
      </x:c>
      <x:c r="E242" s="28" t="str">
        <x:v>Dans une démarche de la vie quotidienne, une personne de votre entourage hésite sur la conduite à adopter en France. Un participant propose la réponse « Une simple remarque ». Vous devez vérifier cette affirmation.</x:v>
      </x:c>
      <x:c r="F242" s="28" t="str">
        <x:v>Quelle sanction maximale risquent des parents qui ne respectent pas l'obligation d'instruction de leur enfant ?</x:v>
      </x:c>
      <x:c r="G242" s="28" t="str">
        <x:v>Une simple remarque.</x:v>
      </x:c>
      <x:c r="H242" s="28" t="str">
        <x:v>Jusqu'à 30 000 € d'amende et deux ans d'emprisonnement.</x:v>
      </x:c>
      <x:c r="I242" s="28" t="str">
        <x:v>Une contravention uniquement.</x:v>
      </x:c>
      <x:c r="J242" s="28" t="str">
        <x:v>Aucune sanction.</x:v>
      </x:c>
      <x:c r="K242" s="32" t="str">
        <x:v>B</x:v>
      </x:c>
      <x:c r="L242" s="28" t="str">
        <x:v>La bonne réponse est « Jusqu'à 30 000 € d'amende et deux ans d'emprisonnement ». Les parents ont l'obligation d'assurer l'instruction de leurs enfants. Le non-respect de cette obligation constitue une infraction pouvant entraîner des sanctions pénales importantes.</x:v>
      </x:c>
      <x:c r="M242" s="29" t="str">
        <x:v>Instruction; Sanction; École; Parents</x:v>
      </x:c>
    </x:row>
    <x:row r="243">
      <x:c r="A243" s="24" t="str">
        <x:v>MS-NAT-T5-035</x:v>
      </x:c>
      <x:c r="B243" s="25" t="str">
        <x:v>NAT-T5-035</x:v>
      </x:c>
      <x:c r="C243" s="25" t="str">
        <x:v>Vivre dans la société française</x:v>
      </x:c>
      <x:c r="D243" s="25" t="str">
        <x:v>🔴 Difficile</x:v>
      </x:c>
      <x:c r="E243" s="28" t="str">
        <x:v>Une famille récemment installée en France vous demande de l’aider à comprendre une règle pratique de la société française. Un proche pense que la bonne réponse pourrait être « Le pouvoir du père uniquement ». Aidez-le à raisonner.</x:v>
      </x:c>
      <x:c r="F243" s="28" t="str">
        <x:v>Qu'est-ce que l'autorité parentale ?</x:v>
      </x:c>
      <x:c r="G243" s="28" t="str">
        <x:v>Le droit de punir son enfant.</x:v>
      </x:c>
      <x:c r="H243" s="28" t="str">
        <x:v>Le pouvoir du père uniquement.</x:v>
      </x:c>
      <x:c r="I243" s="28" t="str">
        <x:v>L'ensemble des droits et des devoirs des parents envers leur enfant.</x:v>
      </x:c>
      <x:c r="J243" s="28" t="str">
        <x:v>Une autorité réservée à la mère.</x:v>
      </x:c>
      <x:c r="K243" s="32" t="str">
        <x:v>C</x:v>
      </x:c>
      <x:c r="L243" s="28" t="str">
        <x:v>La bonne réponse est « L'ensemble des droits et des devoirs des parents envers leur enfant ». L'autorité parentale a pour objectif de protéger l'enfant, d'assurer son éducation, sa santé, sa sécurité et son développement, dans le respect de ses droits.</x:v>
      </x:c>
      <x:c r="M243" s="29" t="str">
        <x:v>Autorité parentale; Parents; Enfant; Responsabilités</x:v>
      </x:c>
    </x:row>
    <x:row r="244">
      <x:c r="A244" s="24" t="str">
        <x:v>MS-NAT-T5-036</x:v>
      </x:c>
      <x:c r="B244" s="25" t="str">
        <x:v>NAT-T5-036</x:v>
      </x:c>
      <x:c r="C244" s="25" t="str">
        <x:v>Vivre dans la société française</x:v>
      </x:c>
      <x:c r="D244" s="25" t="str">
        <x:v>🔴 Difficile</x:v>
      </x:c>
      <x:c r="E244" s="28" t="str">
        <x:v>Au travail, à l’école, dans le logement ou dans le système de santé, un proche souhaite vérifier la bonne démarche. Dans le groupe, la réponse « Dormir » est avancée. Vous devez déterminer si elle est correcte.</x:v>
      </x:c>
      <x:c r="F244" s="28" t="str">
        <x:v>Laquelle de ces situations constitue un motif légitime d'absence scolaire ?</x:v>
      </x:c>
      <x:c r="G244" s="28" t="str">
        <x:v>Vacances anticipées.</x:v>
      </x:c>
      <x:c r="H244" s="28" t="str">
        <x:v>Faire les courses.</x:v>
      </x:c>
      <x:c r="I244" s="28" t="str">
        <x:v>Dormir.</x:v>
      </x:c>
      <x:c r="J244" s="28" t="str">
        <x:v>Un motif légitime, comme une maladie.</x:v>
      </x:c>
      <x:c r="K244" s="32" t="str">
        <x:v>D</x:v>
      </x:c>
      <x:c r="L244" s="28" t="str">
        <x:v>La bonne réponse est « Un motif légitime, comme une maladie ». Les absences scolaires doivent être justifiées. Les motifs légitimes sont notamment la maladie, un rendez-vous médical ou un événement familial exceptionnel.</x:v>
      </x:c>
      <x:c r="M244" s="29" t="str">
        <x:v>École; Absence; Justificatif</x:v>
      </x:c>
    </x:row>
    <x:row r="245">
      <x:c r="A245" s="24" t="str">
        <x:v>MS-NAT-T5-037</x:v>
      </x:c>
      <x:c r="B245" s="25" t="str">
        <x:v>NAT-T5-037</x:v>
      </x:c>
      <x:c r="C245" s="25" t="str">
        <x:v>Vivre dans la société française</x:v>
      </x:c>
      <x:c r="D245" s="25" t="str">
        <x:v>🔴 Difficile</x:v>
      </x:c>
      <x:c r="E245" s="28" t="str">
        <x:v>Lors d’un échange dans un service public, une personne veut s’assurer qu’elle connaît la règle applicable à sa situation. Une personne hésite et choisit « 15 ans ». Vous l’aidez à retrouver la règle ou le repère juste.</x:v>
      </x:c>
      <x:c r="F245" s="28" t="str">
        <x:v>Jusqu'à quel âge l'instruction est-elle obligatoire en France ?</x:v>
      </x:c>
      <x:c r="G245" s="28" t="str">
        <x:v>Jusqu'à 16 ans.</x:v>
      </x:c>
      <x:c r="H245" s="28" t="str">
        <x:v>15 ans.</x:v>
      </x:c>
      <x:c r="I245" s="28" t="str">
        <x:v>18 ans.</x:v>
      </x:c>
      <x:c r="J245" s="28" t="str">
        <x:v>14 ans.</x:v>
      </x:c>
      <x:c r="K245" s="32" t="str">
        <x:v>A</x:v>
      </x:c>
      <x:c r="L245" s="28" t="str">
        <x:v>La bonne réponse est « Jusqu'à 16 ans ». En France, l'instruction est obligatoire de 3 ans à 16 ans. Cette obligation peut être remplie à l'école ou par l'instruction en famille lorsqu'elle est autorisée.</x:v>
      </x:c>
      <x:c r="M245" s="29" t="str">
        <x:v>Instruction; 16 ans; École</x:v>
      </x:c>
    </x:row>
    <x:row r="246">
      <x:c r="A246" s="24" t="str">
        <x:v>MS-NAT-T5-038</x:v>
      </x:c>
      <x:c r="B246" s="25" t="str">
        <x:v>NAT-T5-038</x:v>
      </x:c>
      <x:c r="C246" s="25" t="str">
        <x:v>Vivre dans la société française</x:v>
      </x:c>
      <x:c r="D246" s="25" t="str">
        <x:v>🔴 Difficile</x:v>
      </x:c>
      <x:c r="E246" s="28" t="str">
        <x:v>Dans une démarche de la vie quotidienne, une personne de votre entourage hésite sur la conduite à adopter en France. Un participant propose la réponse « 5 ans ». Vous devez vérifier cette affirmation.</x:v>
      </x:c>
      <x:c r="F246" s="28" t="str">
        <x:v>À partir de quel âge l'instruction devient-elle obligatoire en France ?</x:v>
      </x:c>
      <x:c r="G246" s="28" t="str">
        <x:v>6 ans.</x:v>
      </x:c>
      <x:c r="H246" s="28" t="str">
        <x:v>À 3 ans.</x:v>
      </x:c>
      <x:c r="I246" s="28" t="str">
        <x:v>5 ans.</x:v>
      </x:c>
      <x:c r="J246" s="28" t="str">
        <x:v>2 ans.</x:v>
      </x:c>
      <x:c r="K246" s="32" t="str">
        <x:v>B</x:v>
      </x:c>
      <x:c r="L246" s="28" t="str">
        <x:v>La bonne réponse est « À 3 ans ». Depuis la loi de 2019, l'instruction est obligatoire dès l'âge de 3 ans.</x:v>
      </x:c>
      <x:c r="M246" s="29" t="str">
        <x:v>3 ans; École; Instruction</x:v>
      </x:c>
    </x:row>
    <x:row r="247">
      <x:c r="A247" s="24" t="str">
        <x:v>MS-NAT-T5-039</x:v>
      </x:c>
      <x:c r="B247" s="25" t="str">
        <x:v>NAT-T5-039</x:v>
      </x:c>
      <x:c r="C247" s="25" t="str">
        <x:v>Vivre dans la société française</x:v>
      </x:c>
      <x:c r="D247" s="25" t="str">
        <x:v>🔴 Difficile</x:v>
      </x:c>
      <x:c r="E247" s="28" t="str">
        <x:v>Une famille récemment installée en France vous demande de l’aider à comprendre une règle pratique de la société française. Un proche pense que la bonne réponse pourrait être « La maternelle ». Aidez-le à raisonner.</x:v>
      </x:c>
      <x:c r="F247" s="28" t="str">
        <x:v>Dans quel établissement les élèves poursuivent-ils leur scolarité après l'école élémentaire ?</x:v>
      </x:c>
      <x:c r="G247" s="28" t="str">
        <x:v>Le lycée.</x:v>
      </x:c>
      <x:c r="H247" s="28" t="str">
        <x:v>L'université.</x:v>
      </x:c>
      <x:c r="I247" s="28" t="str">
        <x:v>Les collèges.</x:v>
      </x:c>
      <x:c r="J247" s="28" t="str">
        <x:v>La maternelle.</x:v>
      </x:c>
      <x:c r="K247" s="32" t="str">
        <x:v>C</x:v>
      </x:c>
      <x:c r="L247" s="28" t="str">
        <x:v>La bonne réponse est « Les collèges ». Après l'école élémentaire, les élèves poursuivent leur scolarité au collège, généralement de la 6ᵉ à la 3ᵉ.</x:v>
      </x:c>
      <x:c r="M247" s="29" t="str">
        <x:v>Collège; École; Scolarité</x:v>
      </x:c>
    </x:row>
    <x:row r="248">
      <x:c r="A248" s="24" t="str">
        <x:v>MS-NAT-T5-040</x:v>
      </x:c>
      <x:c r="B248" s="25" t="str">
        <x:v>NAT-T5-040</x:v>
      </x:c>
      <x:c r="C248" s="25" t="str">
        <x:v>Vivre dans la société française</x:v>
      </x:c>
      <x:c r="D248" s="25" t="str">
        <x:v>🔴 Difficile</x:v>
      </x:c>
      <x:c r="E248" s="28" t="str">
        <x:v>Au travail, à l’école, dans le logement ou dans le système de santé, un proche souhaite vérifier la bonne démarche. Dans le groupe, la réponse « Modifier les notes des élèves » est avancée. Vous devez déterminer si elle est correcte.</x:v>
      </x:c>
      <x:c r="F248" s="28" t="str">
        <x:v>Que peuvent faire les parents d'élèves au sein de l'école ?</x:v>
      </x:c>
      <x:c r="G248" s="28" t="str">
        <x:v>Modifier les notes des élèves.</x:v>
      </x:c>
      <x:c r="H248" s="28" t="str">
        <x:v>Décider seul des programmes scolaires.</x:v>
      </x:c>
      <x:c r="I248" s="28" t="str">
        <x:v>Exclure un élève.</x:v>
      </x:c>
      <x:c r="J248" s="28" t="str">
        <x:v>Participer à la vie de l'école et élire leurs représentants.</x:v>
      </x:c>
      <x:c r="K248" s="32" t="str">
        <x:v>D</x:v>
      </x:c>
      <x:c r="L248" s="28" t="str">
        <x:v>La bonne réponse est « Participer à la vie de l'école et élire leurs représentants ». Les parents d'élèves sont des partenaires de l'école. Ils peuvent participer aux réunions, échanger avec les enseignants et élire leurs représentants dans les conseils d'école ou d'administration.</x:v>
      </x:c>
      <x:c r="M248" s="29" t="str">
        <x:v>Parents; École; Représentants; Participation</x:v>
      </x:c>
    </x:row>
    <x:row r="249">
      <x:c r="A249" s="24" t="str">
        <x:v>MS-NAT-T5-041</x:v>
      </x:c>
      <x:c r="B249" s="25" t="str">
        <x:v>NAT-T5-041</x:v>
      </x:c>
      <x:c r="C249" s="25" t="str">
        <x:v>Vivre dans la société française</x:v>
      </x:c>
      <x:c r="D249" s="25" t="str">
        <x:v>🔴 Difficile</x:v>
      </x:c>
      <x:c r="E249" s="28" t="str">
        <x:v>Lors d’un échange dans un service public, une personne veut s’assurer qu’elle connaît la règle applicable à sa situation. Une personne hésite et choisit « Ils doivent attendre de parler français ». Vous l’aidez à retrouver la règle ou le repère juste.</x:v>
      </x:c>
      <x:c r="F249" s="28" t="str">
        <x:v>Comment sont accueillis à l'école les enfants qui ne parlent pas encore français ?</x:v>
      </x:c>
      <x:c r="G249" s="28" t="str">
        <x:v>Ils bénéficient d'un enseignement du français adapté.</x:v>
      </x:c>
      <x:c r="H249" s="28" t="str">
        <x:v>Ils ne peuvent pas aller à l'école.</x:v>
      </x:c>
      <x:c r="I249" s="28" t="str">
        <x:v>Ils doivent attendre de parler français.</x:v>
      </x:c>
      <x:c r="J249" s="28" t="str">
        <x:v>Ils suivent uniquement des cours à distance.</x:v>
      </x:c>
      <x:c r="K249" s="32" t="str">
        <x:v>A</x:v>
      </x:c>
      <x:c r="L249" s="28" t="str">
        <x:v>La bonne réponse est « Ils bénéficient d'un enseignement du français adapté ». Les enfants allophones nouvellement arrivés en France sont scolarisés et peuvent bénéficier d'un enseignement renforcé en français afin de faciliter leur intégration dans le système scolaire.</x:v>
      </x:c>
      <x:c r="M249" s="29" t="str">
        <x:v>École; Français; Allophone; Intégration</x:v>
      </x:c>
    </x:row>
    <x:row r="250">
      <x:c r="A250" s="24" t="str">
        <x:v>MS-NAT-T5-042</x:v>
      </x:c>
      <x:c r="B250" s="25" t="str">
        <x:v>NAT-T5-042</x:v>
      </x:c>
      <x:c r="C250" s="25" t="str">
        <x:v>Vivre dans la société française</x:v>
      </x:c>
      <x:c r="D250" s="25" t="str">
        <x:v>🔴 Difficile</x:v>
      </x:c>
      <x:c r="E250" s="28" t="str">
        <x:v>Dans une démarche de la vie quotidienne, une personne de votre entourage hésite sur la conduite à adopter en France. Un participant propose la réponse « Ils ne peuvent pas fréquenter l'école publique ». Vous devez vérifier cette affirmation.</x:v>
      </x:c>
      <x:c r="F250" s="28" t="str">
        <x:v>Concernant la scolarisation des enfants en situation de handicap, quelle proposition est correcte ?</x:v>
      </x:c>
      <x:c r="G250" s="28" t="str">
        <x:v>Ils doivent être scolarisés uniquement en établissement spécialisé.</x:v>
      </x:c>
      <x:c r="H250" s="28" t="str">
        <x:v>Les enfants en situation de handicap ont le droit d'être scolarisés, avec des aménagements adaptés.</x:v>
      </x:c>
      <x:c r="I250" s="28" t="str">
        <x:v>Ils sont dispensés d'instruction.</x:v>
      </x:c>
      <x:c r="J250" s="28" t="str">
        <x:v>Ils ne peuvent pas fréquenter l'école publique.</x:v>
      </x:c>
      <x:c r="K250" s="32" t="str">
        <x:v>B</x:v>
      </x:c>
      <x:c r="L250" s="28" t="str">
        <x:v>La bonne réponse est « Les enfants en situation de handicap ont le droit d'être scolarisés, avec des aménagements adaptés ». L'école française est une école inclusive. Les enfants en situation de handicap ont le droit d'être scolarisés et peuvent bénéficier d'aménagements et d'accompagnements adaptés à leurs besoins.</x:v>
      </x:c>
      <x:c r="M250" s="29" t="str">
        <x:v>Handicap; École; Inclusion; Scolarisation</x:v>
      </x:c>
    </x:row>
    <x:row r="251">
      <x:c r="A251" s="24" t="str">
        <x:v>MS-NAT-T5-043</x:v>
      </x:c>
      <x:c r="B251" s="25" t="str">
        <x:v>NAT-T5-043</x:v>
      </x:c>
      <x:c r="C251" s="25" t="str">
        <x:v>Vivre dans la société française</x:v>
      </x:c>
      <x:c r="D251" s="25" t="str">
        <x:v>🔴 Difficile</x:v>
      </x:c>
      <x:c r="E251" s="28" t="str">
        <x:v>Une famille récemment installée en France vous demande de l’aider à comprendre une règle pratique de la société française. Un proche pense que la bonne réponse pourrait être « 11 jours ». Aidez-le à raisonner.</x:v>
      </x:c>
      <x:c r="F251" s="28" t="str">
        <x:v>Depuis le 1er juillet 2021, quelle est la durée du congé de paternité et d'accueil de l'enfant pour une naissance simple ?</x:v>
      </x:c>
      <x:c r="G251" s="28" t="str">
        <x:v>11 jours.</x:v>
      </x:c>
      <x:c r="H251" s="28" t="str">
        <x:v>15 jours.</x:v>
      </x:c>
      <x:c r="I251" s="28" t="str">
        <x:v>25 jours.</x:v>
      </x:c>
      <x:c r="J251" s="28" t="str">
        <x:v>30 jours.</x:v>
      </x:c>
      <x:c r="K251" s="32" t="str">
        <x:v>C</x:v>
      </x:c>
      <x:c r="L251" s="28" t="str">
        <x:v>La bonne réponse est « 25 jours ». Depuis le 1er juillet 2021, le congé de paternité et d'accueil de l'enfant est de 25 jours pour une naissance simple, afin de favoriser la présence du second parent auprès de l'enfant.</x:v>
      </x:c>
      <x:c r="M251" s="29" t="str">
        <x:v>Congé paternité; 25 jours; Naissance; Travail</x:v>
      </x:c>
    </x:row>
    <x:row r="252">
      <x:c r="A252" s="26" t="str">
        <x:v>MS-NAT-T5-044</x:v>
      </x:c>
      <x:c r="B252" s="27" t="str">
        <x:v>NAT-T5-044</x:v>
      </x:c>
      <x:c r="C252" s="27" t="str">
        <x:v>Vivre dans la société française</x:v>
      </x:c>
      <x:c r="D252" s="27" t="str">
        <x:v>🔴 Difficile</x:v>
      </x:c>
      <x:c r="E252" s="30" t="str">
        <x:v>Au travail, à l’école, dans le logement ou dans le système de santé, un proche souhaite vérifier la bonne démarche. Dans le groupe, la réponse « Oui, si l'enfant a désobéi » est avancée. Vous devez déterminer si elle est correcte.</x:v>
      </x:c>
      <x:c r="F252" s="30" t="str">
        <x:v>Les châtiments corporels envers un enfant sont-ils autorisés en France ?</x:v>
      </x:c>
      <x:c r="G252" s="30" t="str">
        <x:v>Oui.</x:v>
      </x:c>
      <x:c r="H252" s="30" t="str">
        <x:v>Oui, si l'enfant a désobéi.</x:v>
      </x:c>
      <x:c r="I252" s="30" t="str">
        <x:v>Oui, dans certaines situations.</x:v>
      </x:c>
      <x:c r="J252" s="30" t="str">
        <x:v>Non, les violences éducatives, y compris les châtiments corporels, sont interdites.</x:v>
      </x:c>
      <x:c r="K252" s="33" t="str">
        <x:v>D</x:v>
      </x:c>
      <x:c r="L252" s="30" t="str">
        <x:v>La bonne réponse est « Non, les violences éducatives, y compris les châtiments corporels, sont interdites ». En France, les violences éducatives ordinaires, y compris les châtiments corporels, sont interdites. L'autorité parentale doit s'exercer dans le respect de l'intégrité physique et psychologique de l'enfant.</x:v>
      </x:c>
      <x:c r="M252" s="31" t="str">
        <x:v>Enfant; Violences éducatives; Autorité parentale; Protection</x:v>
      </x:c>
    </x:row>
  </x:sheetData>
  <x:pageMargins left="0.7" right="0.7" top="0.75" bottom="0.75" header="0.3" footer="0.3"/>
  <x:tableParts count="1">
    <x:tablePart xmlns:r="http://schemas.openxmlformats.org/officeDocument/2006/relationships" r:id="R82b7b81ffaed46a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6.66999816894531" hidden="0" customWidth="1"/>
    <x:col min="2" max="2" width="57.779998779296875" hidden="0" customWidth="1"/>
  </x:cols>
  <x:sheetData>
    <x:row r="1" ht="25.5" customHeight="1">
      <x:c r="A1" s="37" t="str">
        <x:v>Banque de mises en situation — Naturalisation</x:v>
      </x:c>
      <x:c r="B1" s="37"/>
    </x:row>
    <x:row r="2" ht="25.5" customHeight="1">
      <x:c r="A2" s="40" t="str">
        <x:v>251 mises en situation, une pour chaque question de la banque naturalisation.</x:v>
      </x:c>
      <x:c r="B2" s="40"/>
    </x:row>
    <x:row r="4">
      <x:c r="A4" s="43" t="str">
        <x:v>Thématique</x:v>
      </x:c>
      <x:c r="B4" s="44" t="str">
        <x:v>Nb de mises en situation</x:v>
      </x:c>
    </x:row>
    <x:row r="5">
      <x:c r="A5" s="45" t="str">
        <x:v>T1 — Principes et valeurs de la République</x:v>
      </x:c>
      <x:c r="B5" s="54" t="n">
        <x:f>COUNTIF('Banque_MS_NAT_251'!$C$2:$C$252,"Principes et valeurs de la République")</x:f>
        <x:v>38</x:v>
      </x:c>
    </x:row>
    <x:row r="6">
      <x:c r="A6" s="45" t="str">
        <x:v>T2 — Système institutionnel et politique français</x:v>
      </x:c>
      <x:c r="B6" s="54" t="n">
        <x:f>COUNTIF('Banque_MS_NAT_251'!$C$2:$C$252,"Système institutionnel et politique français")</x:f>
        <x:v>54</x:v>
      </x:c>
    </x:row>
    <x:row r="7">
      <x:c r="A7" s="45" t="str">
        <x:v>T3 — Droits et devoirs</x:v>
      </x:c>
      <x:c r="B7" s="54" t="n">
        <x:f>COUNTIF('Banque_MS_NAT_251'!$C$2:$C$252,"Droits et devoirs")</x:f>
        <x:v>37</x:v>
      </x:c>
    </x:row>
    <x:row r="8">
      <x:c r="A8" s="45" t="str">
        <x:v>T4 — Histoire, géographie, patrimoine et culture</x:v>
      </x:c>
      <x:c r="B8" s="54" t="n">
        <x:f>COUNTIF('Banque_MS_NAT_251'!$C$2:$C$252,"Histoire, géographie, patrimoine et culture")</x:f>
        <x:v>78</x:v>
      </x:c>
    </x:row>
    <x:row r="9">
      <x:c r="A9" s="45" t="str">
        <x:v>T5 — Vivre dans la société française</x:v>
      </x:c>
      <x:c r="B9" s="54" t="n">
        <x:f>COUNTIF('Banque_MS_NAT_251'!$C$2:$C$252,"Vivre dans la société française")</x:f>
        <x:v>44</x:v>
      </x:c>
    </x:row>
    <x:row r="10">
      <x:c r="A10" s="56" t="str">
        <x:v>TOTAL</x:v>
      </x:c>
      <x:c r="B10" s="57" t="n">
        <x:f>SUM(B5:B9)</x:f>
        <x:v>251</x:v>
      </x:c>
    </x:row>
    <x:row r="12">
      <x:c r="A12" s="50" t="str">
        <x:v>Légende des colonnes</x:v>
      </x:c>
      <x:c r="B12" s="50"/>
    </x:row>
    <x:row r="13">
      <x:c r="A13" s="51" t="str">
        <x:v>Colonne</x:v>
      </x:c>
      <x:c r="B13" s="51" t="str">
        <x:v>Description</x:v>
      </x:c>
    </x:row>
    <x:row r="14">
      <x:c r="A14" t="str">
        <x:v>ID</x:v>
      </x:c>
      <x:c r="B14" t="str">
        <x:v>Identifiant unique de la mise en situation (MS-NAT-Tx-xxx).</x:v>
      </x:c>
    </x:row>
    <x:row r="15">
      <x:c r="A15" t="str">
        <x:v>ID question source</x:v>
      </x:c>
      <x:c r="B15" t="str">
        <x:v>Référence exacte à la question NAT d’origine.</x:v>
      </x:c>
    </x:row>
    <x:row r="16">
      <x:c r="A16" t="str">
        <x:v>Thématique</x:v>
      </x:c>
      <x:c r="B16" t="str">
        <x:v>Thématique officielle de l’examen civique (1 à 5).</x:v>
      </x:c>
    </x:row>
    <x:row r="17">
      <x:c r="A17" t="str">
        <x:v>Difficulté</x:v>
      </x:c>
      <x:c r="B17" t="str">
        <x:v>🟢 Facile / 🟡 Intermédiaire / 🔴 Difficile.</x:v>
      </x:c>
    </x:row>
    <x:row r="18">
      <x:c r="A18" t="str">
        <x:v>Mise en situation</x:v>
      </x:c>
      <x:c r="B18" t="str">
        <x:v>Contexte narratif concret préparant la question.</x:v>
      </x:c>
    </x:row>
    <x:row r="19">
      <x:c r="A19" t="str">
        <x:v>Question posée</x:v>
      </x:c>
      <x:c r="B19" t="str">
        <x:v>Consigne adressée au candidat après le contexte.</x:v>
      </x:c>
    </x:row>
    <x:row r="20">
      <x:c r="A20" t="str">
        <x:v>Réponse A-D</x:v>
      </x:c>
      <x:c r="B20" t="str">
        <x:v>Quatre propositions, dont une seule correcte.</x:v>
      </x:c>
    </x:row>
    <x:row r="21">
      <x:c r="A21" t="str">
        <x:v>Bonne réponse</x:v>
      </x:c>
      <x:c r="B21" t="str">
        <x:v>Lettre de la réponse correcte (A/B/C/D).</x:v>
      </x:c>
    </x:row>
    <x:row r="22">
      <x:c r="A22" t="str">
        <x:v>Feedback pédagogique</x:v>
      </x:c>
      <x:c r="B22" t="str">
        <x:v>Bonne réponse explicitée puis explication pédagogique.</x:v>
      </x:c>
    </x:row>
    <x:row r="23">
      <x:c r="A23" t="str">
        <x:v>Mots-clés</x:v>
      </x:c>
      <x:c r="B23" t="str">
        <x:v>Mots-clés destinés au moteur de correspondance du chatbot ChatMD.</x:v>
      </x:c>
    </x:row>
  </x:sheetData>
  <x:mergeCells>
    <x:mergeCell ref="A1:B1"/>
    <x:mergeCell ref="A2:B2"/>
  </x:mergeCells>
  <x:pageMargins left="0.7" right="0.7" top="0.75" bottom="0.75" header="0.3" footer="0.3"/>
</x:worksheet>
</file>