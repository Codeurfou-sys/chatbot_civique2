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8_{666C2A41-4E43-4977-A8DA-FD4EF1241888}" xr6:coauthVersionLast="47" xr6:coauthVersionMax="47" xr10:uidLastSave="{00000000-0000-0000-0000-000000000000}"/>
  <bookViews>
    <workbookView xWindow="-108" yWindow="-108" windowWidth="23256" windowHeight="12456" firstSheet="2" activeTab="6" xr2:uid="{00000000-000D-0000-FFFF-FFFF00000000}"/>
  </bookViews>
  <sheets>
    <sheet name="Banque_CR" sheetId="1" r:id="rId1"/>
    <sheet name="Contrôle_Qualité" sheetId="2" r:id="rId2"/>
    <sheet name="Standard_V2" sheetId="3" r:id="rId3"/>
    <sheet name="Sources_Fichiers" sheetId="4" r:id="rId4"/>
    <sheet name="Banque_CR_Chatbot" sheetId="5" r:id="rId5"/>
    <sheet name="Contrôle_Mini_QCM" sheetId="6" r:id="rId6"/>
    <sheet name="Référentiel_Chapitre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6" l="1"/>
  <c r="G23" i="6" s="1"/>
  <c r="E22" i="6"/>
  <c r="G22" i="6" s="1"/>
  <c r="E21" i="6"/>
  <c r="G21" i="6" s="1"/>
  <c r="F20" i="6"/>
  <c r="E20" i="6"/>
  <c r="G20" i="6" s="1"/>
  <c r="E19" i="6"/>
  <c r="G19" i="6" s="1"/>
  <c r="E18" i="6"/>
  <c r="F18" i="6" s="1"/>
  <c r="G17" i="6"/>
  <c r="F17" i="6"/>
  <c r="E17" i="6"/>
  <c r="G16" i="6"/>
  <c r="F16" i="6"/>
  <c r="E16" i="6"/>
  <c r="E15" i="6"/>
  <c r="G15" i="6" s="1"/>
  <c r="G14" i="6"/>
  <c r="E14" i="6"/>
  <c r="F14" i="6" s="1"/>
  <c r="G13" i="6"/>
  <c r="E13" i="6"/>
  <c r="F13" i="6" s="1"/>
  <c r="F12" i="6"/>
  <c r="E12" i="6"/>
  <c r="G12" i="6" s="1"/>
  <c r="E11" i="6"/>
  <c r="G11" i="6" s="1"/>
  <c r="E10" i="6"/>
  <c r="F10" i="6" s="1"/>
  <c r="G9" i="6"/>
  <c r="F9" i="6"/>
  <c r="E9" i="6"/>
  <c r="G8" i="6"/>
  <c r="F8" i="6"/>
  <c r="E8" i="6"/>
  <c r="E7" i="6"/>
  <c r="G7" i="6" s="1"/>
  <c r="G6" i="6"/>
  <c r="E6" i="6"/>
  <c r="F6" i="6" s="1"/>
  <c r="G5" i="6"/>
  <c r="E5" i="6"/>
  <c r="F5" i="6" s="1"/>
  <c r="B10" i="2"/>
  <c r="B9" i="2"/>
  <c r="B8" i="2"/>
  <c r="F7" i="2"/>
  <c r="B7" i="2"/>
  <c r="F6" i="2"/>
  <c r="B6" i="2"/>
  <c r="F5" i="2"/>
  <c r="B5" i="2"/>
  <c r="F4" i="2"/>
  <c r="F8" i="2" s="1"/>
  <c r="B4" i="2"/>
  <c r="G10" i="6" l="1"/>
  <c r="G18" i="6"/>
  <c r="F21" i="6"/>
  <c r="F11" i="6"/>
  <c r="F19" i="6"/>
  <c r="F22" i="6"/>
  <c r="F7" i="6"/>
  <c r="F15" i="6"/>
  <c r="F23" i="6"/>
</calcChain>
</file>

<file path=xl/sharedStrings.xml><?xml version="1.0" encoding="utf-8"?>
<sst xmlns="http://schemas.openxmlformats.org/spreadsheetml/2006/main" count="9715" uniqueCount="2344">
  <si>
    <t>ID</t>
  </si>
  <si>
    <t>Examen</t>
  </si>
  <si>
    <t>N° thématique</t>
  </si>
  <si>
    <t>ID_Thématique</t>
  </si>
  <si>
    <t>ID_Chapitre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</si>
  <si>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</si>
  <si>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</si>
  <si>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</si>
  <si>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</si>
  <si>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</si>
  <si>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</si>
  <si>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</si>
  <si>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</si>
  <si>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</si>
  <si>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</si>
  <si>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</si>
  <si>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</si>
  <si>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</si>
  <si>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</si>
  <si>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</si>
  <si>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</si>
  <si>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</si>
  <si>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</si>
  <si>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CR-T1-001</t>
  </si>
  <si>
    <t>CR</t>
  </si>
  <si>
    <t>Principes et valeurs de la République</t>
  </si>
  <si>
    <t>Chapitre 6 — Contrat d’engagement et citoyenneté</t>
  </si>
  <si>
    <t>Parmi les propositions suivantes, laquelle constitue une participation citoyenne ?</t>
  </si>
  <si>
    <t>Obtenir une carte d'identité française.</t>
  </si>
  <si>
    <t>S'inscrire à la Sécurité sociale.</t>
  </si>
  <si>
    <t>Voter aux élections.</t>
  </si>
  <si>
    <t>Travailler dans une entreprise.</t>
  </si>
  <si>
    <t>C</t>
  </si>
  <si>
    <t>La participation citoyenne consiste à prendre part à la vie démocratique du pays. Le vote est l'une des principales formes de participation citoyenne.</t>
  </si>
  <si>
    <t>Retenez le mot-clé : Citoyenneté = droit de voter aux élections</t>
  </si>
  <si>
    <t>🟢 Facile</t>
  </si>
  <si>
    <t>Connaître les formes de participation à la vie démocratique.</t>
  </si>
  <si>
    <t>Citoyenneté; Vote; Élections</t>
  </si>
  <si>
    <t>📚 Thématique 1 – Principes et valeurs de la République 📖 Glossaire - Citoyenneté - Vote</t>
  </si>
  <si>
    <t>Oui</t>
  </si>
  <si>
    <t>À vérifier</t>
  </si>
  <si>
    <t>QUESTIONS_THEMATIQUE_1(1).md</t>
  </si>
  <si>
    <t>QCM source</t>
  </si>
  <si>
    <t>CR-T1-002</t>
  </si>
  <si>
    <t>CH01_Principes et valeurs</t>
  </si>
  <si>
    <t>Que garantit la liberté d'expression ?</t>
  </si>
  <si>
    <t>Le droit d'insulter les autres.</t>
  </si>
  <si>
    <t>Le droit de diffamer.</t>
  </si>
  <si>
    <t>Le droit d'exprimer librement ses opinions dans le respect de la loi.</t>
  </si>
  <si>
    <t>Le droit d'inciter à la haine.</t>
  </si>
  <si>
    <t>La liberté d'expression est une liberté fondamentale. Elle permet à chacun d'exprimer ses idées, tout en respectant les lois et les autres personnes.</t>
  </si>
  <si>
    <t>Retenez le mot-clé : Liberté d'expression = exprimer ses opinions</t>
  </si>
  <si>
    <t>Comprendre les libertés fondamentales.</t>
  </si>
  <si>
    <t>Liberté d'expression; Opinion; Libertés</t>
  </si>
  <si>
    <t>📚 Thématique 1 – Libertés fondamentales 📖 Glossaire - Liberté d'expression</t>
  </si>
  <si>
    <t>Réponses à ne pas accepter + banque thématique</t>
  </si>
  <si>
    <t>CR-T1-003</t>
  </si>
  <si>
    <t>À quoi sert un titre de séjour ?</t>
  </si>
  <si>
    <t>À obtenir automatiquement la nationalité française.</t>
  </si>
  <si>
    <t>À voter aux élections.</t>
  </si>
  <si>
    <t>À remplacer une carte d'identité.</t>
  </si>
  <si>
    <t>À autoriser un étranger à séjourner légalement en France.</t>
  </si>
  <si>
    <t>D</t>
  </si>
  <si>
    <t>Le titre de séjour est un document officiel qui autorise une personne étrangère à résider en France pendant une durée déterminée ou permanente, selon sa situation.</t>
  </si>
  <si>
    <t>Retenez le mot-clé : Titre de séjour = document pour habiter en France</t>
  </si>
  <si>
    <t>🟡 Intermédiaire</t>
  </si>
  <si>
    <t>Connaître les principaux documents administratifs liés au séjour.</t>
  </si>
  <si>
    <t>Titre de séjour; Séjour; France</t>
  </si>
  <si>
    <t>📚 Thématique 1 – Vie administrative 📖 Glossaire - Titre de séjour</t>
  </si>
  <si>
    <t>CR-T1-004</t>
  </si>
  <si>
    <t>Chapitre 1 — Principes et valeurs</t>
  </si>
  <si>
    <t>La liberté de circulation permet à toute personne de :</t>
  </si>
  <si>
    <t>S'installer sur n'importe quel terrain privé.</t>
  </si>
  <si>
    <t>Se déplacer librement sur le territoire national et à l'étranger.</t>
  </si>
  <si>
    <t>Conduire n'importe quel véhicule sans permis.</t>
  </si>
  <si>
    <t>Voyager librement sans papiers d'identité dans toute l'Europe.</t>
  </si>
  <si>
    <t>B</t>
  </si>
  <si>
    <t>La liberté de circulation permet à chacun de se déplacer librement, dans le respect des lois et des règles applicables.</t>
  </si>
  <si>
    <t>Retenez le mot-clé : Liberté de circulation = se déplacer</t>
  </si>
  <si>
    <t>Liberté de circulation; Déplacement; France</t>
  </si>
  <si>
    <t>📚 Thématique 1 – Libertés fondamentales 📖 Glossaire - Liberté de circulation</t>
  </si>
  <si>
    <t>CR-T1-005</t>
  </si>
  <si>
    <t>Chapitre 3 — Symboles de la République</t>
  </si>
  <si>
    <t>Sur quel site internet peut-on retrouver les symboles de la République française ?</t>
  </si>
  <si>
    <t>Sur le site de l'Élysée.</t>
  </si>
  <si>
    <t>Le site de la CAF.</t>
  </si>
  <si>
    <t>France Travail.</t>
  </si>
  <si>
    <t>Ameli.</t>
  </si>
  <si>
    <t>A</t>
  </si>
  <si>
    <t>Le site officiel de la Présidence de la République présente les symboles de la République française, notamment le drapeau, Marianne, la Marseillaise et la devise.</t>
  </si>
  <si>
    <t>Retenez : Site internet officiel montre les symboles</t>
  </si>
  <si>
    <t>Identifier les ressources officielles de la République française.</t>
  </si>
  <si>
    <t>Élysée; République; Symboles</t>
  </si>
  <si>
    <t>📚 Thématique 1 – Symboles de la République 📖 Glossaire - Symboles de la République</t>
  </si>
  <si>
    <t>CR-T1-006</t>
  </si>
  <si>
    <t>Complétez ces paroles de la Marseillaise : « Aux armes [...] ! Formez vos bataillons. »</t>
  </si>
  <si>
    <t>Français.</t>
  </si>
  <si>
    <t>Soldats.</t>
  </si>
  <si>
    <t>Amis.</t>
  </si>
  <si>
    <t>Citoyens.</t>
  </si>
  <si>
    <t>La Marseillaise est l'hymne national français. Chaque citoyen est invité à connaître ses paroles et leur signification.</t>
  </si>
  <si>
    <t>Retenez : Les citoyens = habitants de la France</t>
  </si>
  <si>
    <t>Connaître les symboles de la République.</t>
  </si>
  <si>
    <t>Marseillaise; Citoyens; Hymne national</t>
  </si>
  <si>
    <t>📚 Thématique 1 – Symboles de la République 📖 Glossaire - Marseillaise</t>
  </si>
  <si>
    <t>CR-T1-007</t>
  </si>
  <si>
    <t>Complétez les paroles de la Marseillaise : « Allons enfants de la Patrie [...] »</t>
  </si>
  <si>
    <t>Le jour de gloire est arrivé.</t>
  </si>
  <si>
    <t>Ces paroles ouvrent la Marseillaise, l'hymne national de la République française.</t>
  </si>
  <si>
    <t xml:space="preserve">Retenez : Gloire = grandeur  </t>
  </si>
  <si>
    <t>Marseillaise; Hymne</t>
  </si>
  <si>
    <t>Banque thématique + génération éditoriale</t>
  </si>
  <si>
    <t>CR-T1-008</t>
  </si>
  <si>
    <t>Chapitre 4 — Laïcité</t>
  </si>
  <si>
    <t>En application de la liberté individuelle, quelle proposition est correcte ? Une personne peut :</t>
  </si>
  <si>
    <t>Refuser de respecter les lois si elles sont contraires à ses principes.</t>
  </si>
  <si>
    <t>Imposer ses idées aux autres.</t>
  </si>
  <si>
    <t>Choisir ses propres règles.</t>
  </si>
  <si>
    <t>Choisir sa religion ou ne pas en avoir.</t>
  </si>
  <si>
    <t>En France, chacun est libre de pratiquer une religion, d'en changer ou de ne pas avoir de religion. Cette liberté est protégée par la loi.</t>
  </si>
  <si>
    <t>Retenez : chacun peut choisir sa religion</t>
  </si>
  <si>
    <t>Comprendre les libertés individuelles.</t>
  </si>
  <si>
    <t>Religion; Liberté; Laïcité</t>
  </si>
  <si>
    <t>📚 Thématique 1 – Libertés fondamentales 📖 Glossaire - Liberté de conscience</t>
  </si>
  <si>
    <t>CR-T1-009</t>
  </si>
  <si>
    <t>Concernant la pratique de la religion, quelle proposition est correcte ?</t>
  </si>
  <si>
    <t>Chacun est libre de pratiquer sa religion.</t>
  </si>
  <si>
    <t>Les signes religieux sont interdits dans la rue.</t>
  </si>
  <si>
    <t>La religion ne peut être pratiquée qu'à la maison.</t>
  </si>
  <si>
    <t>Les lieux de culte sont financés par tous les services publics.</t>
  </si>
  <si>
    <t>La liberté religieuse est garantie en France. Chacun est libre de croire, de pratiquer sa religion ou de ne pas avoir de religion, dans le respect de la loi.</t>
  </si>
  <si>
    <t>Comprendre la liberté religieuse.</t>
  </si>
  <si>
    <t>📚 Thématique 1 – Laïcité 📖 Glossaire - Liberté de religion</t>
  </si>
  <si>
    <t>CR-T1-010</t>
  </si>
  <si>
    <t>En tant que parent, peut-on refuser que son enfant participe aux cours de sport à l'école parce qu'ils sont mixtes ?</t>
  </si>
  <si>
    <t>Oui.</t>
  </si>
  <si>
    <t>Oui si les parents le souhaitent.</t>
  </si>
  <si>
    <t>Oui, dans tous les cas.</t>
  </si>
  <si>
    <t>Non.</t>
  </si>
  <si>
    <t>Les cours de sport font partie des enseignements obligatoires. La mixité entre les filles et les garçons est un principe de l'école de la République.</t>
  </si>
  <si>
    <t xml:space="preserve">Retenez : Cours = obligatoire </t>
  </si>
  <si>
    <t>Connaître les principes de l'école de la République.</t>
  </si>
  <si>
    <t>École; Mixité; Sport; Égalité</t>
  </si>
  <si>
    <t>📚 Thématique 1 – École et République 📖 Glossaire - Mixité - École publique</t>
  </si>
  <si>
    <t>CR-T1-011</t>
  </si>
  <si>
    <t>Quelle est la devise de la France ?</t>
  </si>
  <si>
    <t>Liberté, Justice, Egalité,</t>
  </si>
  <si>
    <t>Travail, Famille, Patrie.</t>
  </si>
  <si>
    <t>Liberté, Égalité, Fraternité.</t>
  </si>
  <si>
    <t>Égalité, Solidarité, Liberté,</t>
  </si>
  <si>
    <t>La devise de la République française est « Liberté, Égalité, Fraternité ». Elle exprime les valeurs fondamentales de la République.</t>
  </si>
  <si>
    <t>Retenez : La devise = valeurs représentant la France</t>
  </si>
  <si>
    <t>Devise; République; Liberté; Égalité; Fraternité</t>
  </si>
  <si>
    <t>📚 Thématique 1 – Valeurs de la République 📖 Glossaire - Devise républicaine</t>
  </si>
  <si>
    <t>CR-T1-012</t>
  </si>
  <si>
    <t>La répudiation de sa femme est :</t>
  </si>
  <si>
    <t>Autorisée avec l'accord d'un juge.</t>
  </si>
  <si>
    <t>Interdite par la loi française.</t>
  </si>
  <si>
    <t>Légale si elle est prévue dans le contrat de mariage.</t>
  </si>
  <si>
    <t>Autorisée avec l'accord de la famille.</t>
  </si>
  <si>
    <t>En France, les femmes et les hommes disposent des mêmes droits. La répudiation n'est pas reconnue par le droit français.</t>
  </si>
  <si>
    <t>Retenez le mot-clé : Égalité.</t>
  </si>
  <si>
    <t>Connaître le principe d'égalité entre les femmes et les hommes.</t>
  </si>
  <si>
    <t>Égalité; Mariage; Répudiation</t>
  </si>
  <si>
    <t>📚 Thématique 1 – Égalité 📖 Glossaire - Égalité femmes-hommes</t>
  </si>
  <si>
    <t>CR-T1-013</t>
  </si>
  <si>
    <t>Les impôts permettent de financer les dépenses publiques. Quelle proposition est correcte ?</t>
  </si>
  <si>
    <t>Les impôts servent uniquement à payer les élus.</t>
  </si>
  <si>
    <t>Les impôts sont facultatifs.</t>
  </si>
  <si>
    <t>Les impôts sont réservés aux entreprises.</t>
  </si>
  <si>
    <t>Les impôts financent les services publics et les équipements utiles à tous.</t>
  </si>
  <si>
    <t>Les impôts servent à financer les écoles, les hôpitaux, les routes, la sécurité, la justice et de nombreux autres services publics.</t>
  </si>
  <si>
    <t>Retenez le mot-clé : Impôts.</t>
  </si>
  <si>
    <t>Comprendre le rôle des impôts.</t>
  </si>
  <si>
    <t>Impôts; Services publics; État</t>
  </si>
  <si>
    <t>📚 Thématique 1 – Citoyenneté 📖 Glossaire - Impôts</t>
  </si>
  <si>
    <t>CR-T1-014</t>
  </si>
  <si>
    <t>Peut-on brûler publiquement un drapeau français ?</t>
  </si>
  <si>
    <t>Oui si c'est une manifestation.</t>
  </si>
  <si>
    <t>Le drapeau français est un symbole de la République. Les atteintes publiques à ce symbole sont encadrées et peuvent être sanctionnées par la loi.</t>
  </si>
  <si>
    <t>Retenez le mot-clé : Drapeau.</t>
  </si>
  <si>
    <t>Drapeau; République; Symbole</t>
  </si>
  <si>
    <t>📚 Thématique 1 – Symboles 📖 Glossaire - Drapeau français</t>
  </si>
  <si>
    <t>CR-T1-015</t>
  </si>
  <si>
    <t>Que fait l'État pour lutter contre les discriminations ?</t>
  </si>
  <si>
    <t>Il les autorise.</t>
  </si>
  <si>
    <t>Il ne fait rien.</t>
  </si>
  <si>
    <t>Il interdit les discriminations et les sanctionne par la loi.</t>
  </si>
  <si>
    <t>Cela dépend des situations.</t>
  </si>
  <si>
    <t>La loi protège chaque personne contre les discriminations fondées notamment sur l'origine, le sexe, la religion, le handicap ou l'orientation sexuelle.</t>
  </si>
  <si>
    <t>Retenez le mot-clé : Discrimination.</t>
  </si>
  <si>
    <t>🔴 Difficile</t>
  </si>
  <si>
    <t>Connaître le principe d'égalité et de non-discrimination.</t>
  </si>
  <si>
    <t>Discrimination; Égalité; Loi</t>
  </si>
  <si>
    <t>📚 Thématique 1 – Égalité 📖 Glossaire - Discrimination</t>
  </si>
  <si>
    <t>CR-T1-016</t>
  </si>
  <si>
    <t>Que représente Marianne ?</t>
  </si>
  <si>
    <t>Une reine de France.</t>
  </si>
  <si>
    <t>La République française.</t>
  </si>
  <si>
    <t>La première présidente française.</t>
  </si>
  <si>
    <t>Une déesse.</t>
  </si>
  <si>
    <t>Marianne est la représentation symbolique de la République française. Son buste est présent dans de nombreuses mairies et son portrait figure sur certains documents officiels.</t>
  </si>
  <si>
    <t xml:space="preserve">Retenez le mot-clé : Marianne = symbole </t>
  </si>
  <si>
    <t>Marianne; République; Symbole</t>
  </si>
  <si>
    <t>📚 Thématique 1 – Symboles de la République 📖 Glossaire - Marianne</t>
  </si>
  <si>
    <t>CR-T1-017</t>
  </si>
  <si>
    <t>Qu'est-ce que la liberté d'association ?</t>
  </si>
  <si>
    <t>Créer un parti politique uniquement.</t>
  </si>
  <si>
    <t>Adhérer à une association uniquement avec l'autorisation de l'État.</t>
  </si>
  <si>
    <t>Le droit de créer une association ou d'y adhérer librement.</t>
  </si>
  <si>
    <t>Être obligé d'adhérer à une association.</t>
  </si>
  <si>
    <t>La liberté d'association est une liberté fondamentale. Elle permet à chacun de créer une association, d'y participer ou de choisir de ne pas y adhérer.</t>
  </si>
  <si>
    <t>Retenez : Créer ou rejoindre une association (ex : club de football)</t>
  </si>
  <si>
    <t>Connaître les libertés fondamentales.</t>
  </si>
  <si>
    <t>Association; Liberté; Citoyenneté</t>
  </si>
  <si>
    <t>📚 Thématique 1 – Libertés fondamentales 📖 Glossaire - Liberté d'association</t>
  </si>
  <si>
    <t>CR-T1-018</t>
  </si>
  <si>
    <t>Qu'est-ce que la liberté ?</t>
  </si>
  <si>
    <t>Faire tout ce que l'on veut.</t>
  </si>
  <si>
    <t>Le droit de faire ses propres choix dans le respect de la loi et des droits des autres.</t>
  </si>
  <si>
    <t>Ne respecter aucune règle.</t>
  </si>
  <si>
    <t>Imposer ses choix aux autres.</t>
  </si>
  <si>
    <t>En France, la liberté est un droit fondamental. Elle s'exerce dans le respect des lois de la République et des libertés des autres personnes.</t>
  </si>
  <si>
    <t>Retenez : Liberté = avoir le choix</t>
  </si>
  <si>
    <t>Comprendre les valeurs de la République.</t>
  </si>
  <si>
    <t>Liberté; Droits; Loi</t>
  </si>
  <si>
    <t>📚 Thématique 1 – Valeurs de la République 📖 Glossaire - Liberté</t>
  </si>
  <si>
    <t>CR-T1-019</t>
  </si>
  <si>
    <t>Qu'est-ce que la Marseillaise ?</t>
  </si>
  <si>
    <t>L'hymne national français.</t>
  </si>
  <si>
    <t>Une devise.</t>
  </si>
  <si>
    <t>Une chason de variété française.</t>
  </si>
  <si>
    <t>Un monument historique.</t>
  </si>
  <si>
    <t>La Marseillaise est l'hymne national de la République française. Elle fait partie des symboles officiels de la République.</t>
  </si>
  <si>
    <t>Retenez : Marseillaise = chant officiel de la France</t>
  </si>
  <si>
    <t>Marseillaise; Hymne national; République</t>
  </si>
  <si>
    <t>CR-T1-020</t>
  </si>
  <si>
    <t>Sur quel document peut-on voir Marianne ?</t>
  </si>
  <si>
    <t>Le permis de conduire.</t>
  </si>
  <si>
    <t>Une facture d'électricité.</t>
  </si>
  <si>
    <t>Le passeport.</t>
  </si>
  <si>
    <t>Les timbres-poste.</t>
  </si>
  <si>
    <t>Marianne est le symbole de la République française. Son portrait figure notamment sur les timbres-poste français. On retrouve également son buste dans de nombreuses mairies.</t>
  </si>
  <si>
    <t xml:space="preserve">Retenez : Portrait de Marianne sur timbres </t>
  </si>
  <si>
    <t>Marianne; Timbres-poste; République</t>
  </si>
  <si>
    <t>CR-T1-021</t>
  </si>
  <si>
    <t>Un employeur refuse d'embaucher des femmes dans son entreprise. Que dit la loi ?</t>
  </si>
  <si>
    <t>L'employeur choisit librement.</t>
  </si>
  <si>
    <t>C'est autorisé.</t>
  </si>
  <si>
    <t>Cela dépend de son règlement intérieur.</t>
  </si>
  <si>
    <t>C'est interdit. La loi interdit les discriminations.</t>
  </si>
  <si>
    <t>En France, une personne ne peut pas être discriminée lors d'un recrutement en raison de son sexe. Les femmes et les hommes bénéficient des mêmes droits.</t>
  </si>
  <si>
    <t>Retenez une discrimination = faire une différence entre des personnes</t>
  </si>
  <si>
    <t>Discrimination; Égalité; Emploi; Femmes-hommes</t>
  </si>
  <si>
    <t>📚 Thématique 1 – Égalité 📖 Glossaire - Discrimination - Égalité femmes-hommes</t>
  </si>
  <si>
    <t>CR-T1-022</t>
  </si>
  <si>
    <t>Une des valeurs de la devise républicaine est l'égalité. Qu'est-ce que cela signifie ?</t>
  </si>
  <si>
    <t>Toutes les personnes ont les mêmes droits et les mêmes devoirs devant la loi.</t>
  </si>
  <si>
    <t>Tout le monde est identique.</t>
  </si>
  <si>
    <t>Tout le monde doit gagner le même salaire.</t>
  </si>
  <si>
    <t>Chacun fait ce qu'il veut et quand il veut.</t>
  </si>
  <si>
    <t>L'égalité est l'un des principes fondamentaux de la République. Elle garantit que la loi s'applique de la même manière à toutes les personnes.</t>
  </si>
  <si>
    <t xml:space="preserve">Retenez : Nous sommes tous égaux ! </t>
  </si>
  <si>
    <t>Égalité; Loi; République</t>
  </si>
  <si>
    <t>📚 Thématique 1 – Valeurs de la République 📖 Glossaire - Égalité</t>
  </si>
  <si>
    <t>CR-T1-023</t>
  </si>
  <si>
    <t>Chapitre 5 — Langue de la République</t>
  </si>
  <si>
    <t>Quelle est la place de la langue française dans la République ?</t>
  </si>
  <si>
    <t>Chaque région choisit sa langue officielle.</t>
  </si>
  <si>
    <t>Le français est la langue de la République.</t>
  </si>
  <si>
    <t>Il existe plusieurs langues officielles.</t>
  </si>
  <si>
    <t>L'anglais est la langue officielle.</t>
  </si>
  <si>
    <t>L'article 2 de la Constitution dispose que « La langue de la République est le français ».</t>
  </si>
  <si>
    <t>Retenez : Le français = langue officielle</t>
  </si>
  <si>
    <t>Connaître les principes fondamentaux de la République.</t>
  </si>
  <si>
    <t>Français; Constitution; Langue</t>
  </si>
  <si>
    <t>📚 Thématique 1 – République 📖 Glossaire - Langue de la République</t>
  </si>
  <si>
    <t>CR-T1-024</t>
  </si>
  <si>
    <t>Lequel de ces symboles est un symbole officiel de la République française ?</t>
  </si>
  <si>
    <t xml:space="preserve">L'arc de triomphe. </t>
  </si>
  <si>
    <t>La tour Eiffel.</t>
  </si>
  <si>
    <t>Le coq.</t>
  </si>
  <si>
    <t xml:space="preserve">Le bonnet prhygien. </t>
  </si>
  <si>
    <t>Les principaux symboles officiels de la République sont le drapeau tricolore, Marianne, la Marseillaise et la devise « Liberté, Égalité, Fraternité ».</t>
  </si>
  <si>
    <t>Retenez : Bonnet phrygien symbole de la révolution française</t>
  </si>
  <si>
    <t>Marianne; Drapeau; Marseillaise; Devise</t>
  </si>
  <si>
    <t>CR-T1-025</t>
  </si>
  <si>
    <t>A-t-on le droit d'insulter publiquement quelqu'un parce qu'il est différent (handicap, apparence physique, sexe…) ?</t>
  </si>
  <si>
    <t>Oui c'est la liberté d'expression.</t>
  </si>
  <si>
    <t>Oui si c'est une plaisanterie.</t>
  </si>
  <si>
    <t>Oui sur Internet.</t>
  </si>
  <si>
    <t>En France, chacun doit être respecté, quelles que soient son origine, son sexe, son handicap, son apparence physique ou ses convictions.</t>
  </si>
  <si>
    <t>Retenez : Nous devons respecter tout le monde</t>
  </si>
  <si>
    <t>Connaître les principes de respect et de non-discrimination.</t>
  </si>
  <si>
    <t>Respect; Discrimination; Insulte; Égalité</t>
  </si>
  <si>
    <t>📚 Thématique 1 – Égalité 📖 Glossaire - Discrimination - Respect de la personne</t>
  </si>
  <si>
    <t>CR-T1-026</t>
  </si>
  <si>
    <t>Pourquoi le principe de laïcité doit-il être respecté à l'école ?</t>
  </si>
  <si>
    <t>Pour interdire toutes les religions.</t>
  </si>
  <si>
    <t>Pour favoriser une religion.</t>
  </si>
  <si>
    <t>Pour garantir la liberté de conscience de tous les élèves et assurer la neutralité de l'école.</t>
  </si>
  <si>
    <t>Pour empêcher les élèves de parler de leur religion et de la promouvoir.</t>
  </si>
  <si>
    <t>L'école publique est un lieu où tous les élèves sont accueillis sans distinction de religion ou de conviction. La laïcité garantit le respect de chacun.</t>
  </si>
  <si>
    <t>Retenez : Ecole = pas de disctinction de la religion</t>
  </si>
  <si>
    <t>Comprendre le principe de laïcité.</t>
  </si>
  <si>
    <t>Laïcité; École; Neutralité; Liberté de conscience</t>
  </si>
  <si>
    <t>📚 Thématique 1 – Laïcité 📖 Glossaire - Laïcité - Liberté de conscience</t>
  </si>
  <si>
    <t>CR-T1-027</t>
  </si>
  <si>
    <t>En quelle année la loi de séparation des Églises et de l'État a-t-elle été votée ?</t>
  </si>
  <si>
    <t>1789.</t>
  </si>
  <si>
    <t>1905.</t>
  </si>
  <si>
    <t>1881.</t>
  </si>
  <si>
    <t>1958.</t>
  </si>
  <si>
    <t>La loi de 1905 établit la séparation des Églises et de l'État. Elle constitue l'un des fondements du principe de laïcité en France.</t>
  </si>
  <si>
    <t>Retenez : 1905 = séparation religion/Etat</t>
  </si>
  <si>
    <t>Connaître les grandes dates de la République.</t>
  </si>
  <si>
    <t>1905; Laïcité; Séparation</t>
  </si>
  <si>
    <t>📚 Thématique 1 – Laïcité 📖 Glossaire - Loi de 1905</t>
  </si>
  <si>
    <t>CR-T1-028</t>
  </si>
  <si>
    <t>Une personne a-t-elle le droit de ne pas croire en une religion ?</t>
  </si>
  <si>
    <t>Il faut choisir une religion.</t>
  </si>
  <si>
    <t>En France, chacun est libre de croire, de ne pas croire ou de changer de religion. Cette liberté est protégée par la loi.</t>
  </si>
  <si>
    <t>Retenez : Religion = pas obligatoire</t>
  </si>
  <si>
    <t>Comprendre la liberté de conscience.</t>
  </si>
  <si>
    <t>Religion; Liberté; Conscience</t>
  </si>
  <si>
    <t>📚 Thématique 1 – Laïcité 📖 Glossaire - Liberté de conscience</t>
  </si>
  <si>
    <t>CR-T1-029</t>
  </si>
  <si>
    <t>Quel droit est garanti par la laïcité ?</t>
  </si>
  <si>
    <t>Le droit d'imposer sa religion.</t>
  </si>
  <si>
    <t>La liberté de conscience.</t>
  </si>
  <si>
    <t>Le droit de ne pas respecter la loi.</t>
  </si>
  <si>
    <t>La laïcité garantit à chacun la liberté de conscience et assure l'égalité de tous devant la loi, quelles que soient leurs convictions.</t>
  </si>
  <si>
    <t>Retenez : Laïcité = liberté de conscience</t>
  </si>
  <si>
    <t>Comprendre les principes de la laïcité.</t>
  </si>
  <si>
    <t>Laïcité; Liberté de conscience; Religion</t>
  </si>
  <si>
    <t>CR-T1-030</t>
  </si>
  <si>
    <t>À l'école publique, qui peut porter des signes religieux très visibles ?</t>
  </si>
  <si>
    <t>Les élèves de primaire.</t>
  </si>
  <si>
    <t>Personne.</t>
  </si>
  <si>
    <t>Les élèves du collège.</t>
  </si>
  <si>
    <t>Les élèves du lycée avec accord préalable de leurs parents.</t>
  </si>
  <si>
    <t>Dans les écoles, collèges et lycées publics, la loi de 2004 interdit aux élèves de porter des signes religieux ostensibles (par exemple un voile, une kippa ou une grande croix). Cette règle vise à garantir le respect du principe de laïcité à l'école.</t>
  </si>
  <si>
    <t>Retenez : Ecole = Pas de signes religieux</t>
  </si>
  <si>
    <t>Comprendre l'application du principe de laïcité à l'école.</t>
  </si>
  <si>
    <t>Laïcité; École; Signes religieux; Élèves</t>
  </si>
  <si>
    <t>📚 Thématique 1 – Laïcité 📖 Glossaire - Laïcité - Signes religieux ostensibles</t>
  </si>
  <si>
    <t>CR-T1-031</t>
  </si>
  <si>
    <t>Selon le principe de laïcité, que signifie la neutralité de l'État ?</t>
  </si>
  <si>
    <t>L'État interdit les religions.</t>
  </si>
  <si>
    <t>L'État choisit une religion officielle.</t>
  </si>
  <si>
    <t>L'État ne favorise ni ne défavorise aucune religion.</t>
  </si>
  <si>
    <t>L'État finance une seule religion.</t>
  </si>
  <si>
    <t>La neutralité de l'État garantit que les services publics traitent toutes les personnes de manière égale, quelles que soient leurs convictions.</t>
  </si>
  <si>
    <t>Retenez : L'Etat est neutre</t>
  </si>
  <si>
    <t>Comprendre le principe de neutralité de l'État.</t>
  </si>
  <si>
    <t>Laïcité; Neutralité; État</t>
  </si>
  <si>
    <t>📚 Thématique 1 – Laïcité 📖 Glossaire - Neutralité de l'État</t>
  </si>
  <si>
    <t>CR-T1-032</t>
  </si>
  <si>
    <t>Que peut faire un usager du service public dans une mairie ?</t>
  </si>
  <si>
    <t>Exiger d'être reçu avant les autres en raison de sa religion.</t>
  </si>
  <si>
    <t>Refuser les règles de fonctionnement de la mairie.</t>
  </si>
  <si>
    <t>Accéder aux services dans les mêmes conditions que tous les autres usagers.</t>
  </si>
  <si>
    <t>Imposer ses convictions religieuses aux agents.</t>
  </si>
  <si>
    <t>Les usagers des services publics bénéficient d'un égal accès au service public, sans discrimination.</t>
  </si>
  <si>
    <t>Retenez : Usagers des services publics = même droit que les autres</t>
  </si>
  <si>
    <t>Comprendre les principes du service public.</t>
  </si>
  <si>
    <t>Service public; Usager; Mairie; Égalité</t>
  </si>
  <si>
    <t>📚 Thématique 1 – Service public 📖 Glossaire - Service public - Usager</t>
  </si>
  <si>
    <t>CR-T1-033</t>
  </si>
  <si>
    <t>Qui doit respecter le principe de neutralité religieuse dans une préfecture ?</t>
  </si>
  <si>
    <t>Les usagers.</t>
  </si>
  <si>
    <t>Les visiteurs.</t>
  </si>
  <si>
    <t>Les citoyens.</t>
  </si>
  <si>
    <t>Les agents publics.</t>
  </si>
  <si>
    <t>Les agents publics exercent leurs fonctions dans le respect du principe de neutralité. Ils ne doivent pas manifester leurs convictions religieuses dans l'exercice de leurs missions.</t>
  </si>
  <si>
    <t>Retenez : Agents publics représentent la neutralité de l'Etat</t>
  </si>
  <si>
    <t>Comprendre le principe de neutralité dans les services publics.</t>
  </si>
  <si>
    <t>Agents publics; Préfecture; Neutralité</t>
  </si>
  <si>
    <t>📚 Thématique 1 – Laïcité 📖 Glossaire - Agent public - Neutralité</t>
  </si>
  <si>
    <t>CR-T1-034</t>
  </si>
  <si>
    <t>La laïcité impose-t-elle aux agents publics d'être neutres vis-à-vis des usagers ?</t>
  </si>
  <si>
    <t>Seulement dans certaines administrations.</t>
  </si>
  <si>
    <t>Cela dépend des situations et des usagers qu'ils rencontrent.</t>
  </si>
  <si>
    <t>Les agents publics doivent assurer leurs missions avec neutralité afin de garantir l'égalité de traitement des usagers.</t>
  </si>
  <si>
    <t>Connaître les obligations des agents publics.</t>
  </si>
  <si>
    <t>Neutralité; Agents publics; Service public</t>
  </si>
  <si>
    <t>📚 Thématique 1 – Laïcité 📖 Glossaire - Neutralité</t>
  </si>
  <si>
    <t>CR-T1-035</t>
  </si>
  <si>
    <t>Que garantit le principe de laïcité ?</t>
  </si>
  <si>
    <t>L'interdiction des religions.</t>
  </si>
  <si>
    <t>La liberté de conscience et l'égalité de tous devant la loi.</t>
  </si>
  <si>
    <t>Une religion officielle.</t>
  </si>
  <si>
    <t>La laïcité protège la liberté de conscience de chacun et garantit que toutes les personnes sont traitées de manière égale.</t>
  </si>
  <si>
    <t>Laïcité; Liberté de conscience; Égalité</t>
  </si>
  <si>
    <t>📚 Thématique 1 – Laïcité 📖 Glossaire - Laïcité</t>
  </si>
  <si>
    <t>CR-T1-036</t>
  </si>
  <si>
    <t>A-t-on le droit de changer de religion ?</t>
  </si>
  <si>
    <t>Seulement avec l'autorisation de l'Etat.</t>
  </si>
  <si>
    <t>Seulement avec une autorisation.</t>
  </si>
  <si>
    <t xml:space="preserve">Non c'est interdit par la loi. </t>
  </si>
  <si>
    <t>En France, chacun est libre de choisir sa religion, d'en changer ou de ne pas en avoir. Cette liberté est protégée par la loi.</t>
  </si>
  <si>
    <t>CR-T1-037</t>
  </si>
  <si>
    <t>Que représente la laïcité ?</t>
  </si>
  <si>
    <t>L'interdiction de toutes les religions.</t>
  </si>
  <si>
    <t>La séparation des Églises et de l'État, garantissant la liberté de conscience.</t>
  </si>
  <si>
    <t>L'obligation d'avoir une religion.</t>
  </si>
  <si>
    <t>La priorité donnée à une religion par l'État.</t>
  </si>
  <si>
    <t>La laïcité repose sur la séparation des Églises et de l'État, instaurée par la loi de 1905. Elle garantit à chacun la liberté de conscience ainsi que l'égalité devant la loi, quelles que soient ses convictions religieuses ou philosophiques.</t>
  </si>
  <si>
    <t>Retenez : Laïcité = liberté de conscience et de ses convictions</t>
  </si>
  <si>
    <t>Comprendre les principes fondamentaux de la laïcité.</t>
  </si>
  <si>
    <t>Laïcité; 1905; Liberté de conscience; Séparation des Églises et de l'État</t>
  </si>
  <si>
    <t>📚 Thématique 1 – Laïcité 📖 Glossaire - Laïcité - Loi de 1905</t>
  </si>
  <si>
    <t>CR-T1-038</t>
  </si>
  <si>
    <t>Qu'est-ce qui est interdit par la Charte de la laïcité à l'école ?</t>
  </si>
  <si>
    <t>Étudier les religions en cours d'histoire.</t>
  </si>
  <si>
    <t>Avoir une religion.</t>
  </si>
  <si>
    <t>Parler de ses convictions personnelles en dehors des cours.</t>
  </si>
  <si>
    <t>Le prosélytisme et les pressions religieuses sur les élèves.</t>
  </si>
  <si>
    <t>La Charte de la laïcité à l'école interdit le prosélytisme et les pressions exercées sur les élèves en raison de leurs convictions. En revanche, il est possible d'étudier le fait religieux dans certains enseignements, comme l'histoire, dans un objectif de connaissance.</t>
  </si>
  <si>
    <t>Retenez : Charte de la laïcité interdit le prosélytisme</t>
  </si>
  <si>
    <t>Comprendre les règles de la laïcité à l'école.</t>
  </si>
  <si>
    <t>Charte de la laïcité; École; Prosélytisme; Pressions religieuses</t>
  </si>
  <si>
    <t>📚 Thématique 1 – Laïcité 📖 Glossaire - Charte de la laïcité - Prosélytisme</t>
  </si>
  <si>
    <t>CR-T1-039</t>
  </si>
  <si>
    <t>Que dit l'article 1er de la Constitution française ?</t>
  </si>
  <si>
    <t>La France est une République fédérale, religieuse, démocratique et sociale.</t>
  </si>
  <si>
    <t>La France est une République indivisible, catholique, démocratique et sociale.</t>
  </si>
  <si>
    <t>La France est une République indivisible, démocratique et monarchique.</t>
  </si>
  <si>
    <t>La France est une République indivisible, laïque, démocratique et sociale.</t>
  </si>
  <si>
    <t>L'article 1er de la Constitution définit les principes fondamentaux de la République française. Il affirme que la France est indivisible, laïque, démocratique et sociale. Il garantit également l'égalité devant la loi de tous les citoyens, sans distinction d'origine, de race ou de religion, et respecte toutes les croyances.</t>
  </si>
  <si>
    <t xml:space="preserve">Retenez : la constitution dit que la France est indivisible, laïque, démocratique et sociale. </t>
  </si>
  <si>
    <t>Connaître les principes fondamentaux de la Constitution française.</t>
  </si>
  <si>
    <t>Constitution; Article 1er; République; Laïcité; Démocratie</t>
  </si>
  <si>
    <t>📚 Thématique 1 – Principes et valeurs de la République 📖 Glossaire - Constitution - Article 1er - République</t>
  </si>
  <si>
    <t>CR-T2-001</t>
  </si>
  <si>
    <t>Système institutionnel et politique français</t>
  </si>
  <si>
    <t>Justice et séparation des pouvoirs</t>
  </si>
  <si>
    <t>Qu'est-ce que l'État de droit ?</t>
  </si>
  <si>
    <t>L'État décide seul des lois.</t>
  </si>
  <si>
    <t>Un État dans lequel tous, y compris les pouvoirs publics, sont soumis à la loi.</t>
  </si>
  <si>
    <t>Seuls les citoyens doivent respecter la loi.</t>
  </si>
  <si>
    <t>Les élus sont au-dessus de la loi.</t>
  </si>
  <si>
    <t>L'État de droit garantit que toutes les personnes, y compris les autorités publiques, doivent respecter la loi. Personne n'est au-dessus des règles juridiques.</t>
  </si>
  <si>
    <t xml:space="preserve">Retenez : Etat de droit = garantit le respect des lois pour tous </t>
  </si>
  <si>
    <t>Comprendre les principes fondamentaux de la démocratie.</t>
  </si>
  <si>
    <t>État de droit; Loi; Justice; Constitution</t>
  </si>
  <si>
    <t>📚 Thématique 2 – Institutions 📖 Glossaire - État de droit</t>
  </si>
  <si>
    <t>QUESTIONS_THEMATIQUE_2.md</t>
  </si>
  <si>
    <t>CR-T2-002</t>
  </si>
  <si>
    <t>Le président de la République a commis un crime. Quelle proposition est correcte ?</t>
  </si>
  <si>
    <t>Il est au-dessus des lois.</t>
  </si>
  <si>
    <t>Il ne peut jamais être jugé.</t>
  </si>
  <si>
    <t>Il peut être arrêté immédiatement par n'importe quel juge.</t>
  </si>
  <si>
    <t>Il n'est pas au-dessus des lois, mais bénéficie d'une inviolabilité durant son mandat (sauf exceptions prévues par la Constitution et le droit international).</t>
  </si>
  <si>
    <t>Le président de la République n'est pas au-dessus des lois. Toutefois, pendant son mandat, il bénéficie d'une protection juridique particulière destinée à garantir le fonctionnement des institutions. À l'issue de son mandat, il redevient justiciable selon les règles applicables.</t>
  </si>
  <si>
    <t>Retenez : Le Président est protégé pendant son mandat</t>
  </si>
  <si>
    <t>Comprendre le statut constitutionnel du président de la République.</t>
  </si>
  <si>
    <t>Président; Constitution; Justice; État de droit</t>
  </si>
  <si>
    <t>📚 Thématique 2 – Institutions 📖 Glossaire - Inviolabilité présidentielle</t>
  </si>
  <si>
    <t>CR-T2-003</t>
  </si>
  <si>
    <t>Institutions françaises</t>
  </si>
  <si>
    <t>La loi est l'expression de :</t>
  </si>
  <si>
    <t>La volonté du Gouvernement.</t>
  </si>
  <si>
    <t>La volonté du Président de la République.</t>
  </si>
  <si>
    <t>La volonté des juges.</t>
  </si>
  <si>
    <t>La volonté générale.</t>
  </si>
  <si>
    <t>La Déclaration des droits de l'homme et du citoyen de 1789 affirme que « La loi est l'expression de la volonté générale ». En France, les lois sont votées par le Parlement.</t>
  </si>
  <si>
    <t>Retenez : La Loi = volonté générale</t>
  </si>
  <si>
    <t>Connaître les principes fondateurs de la République.</t>
  </si>
  <si>
    <t>Loi; Volonté générale; Parlement; 1789</t>
  </si>
  <si>
    <t>📚 Thématique 2 – Institutions 📖 Glossaire - Volonté générale</t>
  </si>
  <si>
    <t>CR-T2-004</t>
  </si>
  <si>
    <t>Collectivités territoriales</t>
  </si>
  <si>
    <t>Quelle est la durée du mandat du conseil municipal et du maire ?</t>
  </si>
  <si>
    <t>5 ans.</t>
  </si>
  <si>
    <t>7 ans.</t>
  </si>
  <si>
    <t>6 ans.</t>
  </si>
  <si>
    <t>9 ans.</t>
  </si>
  <si>
    <t>Les conseillers municipaux sont élus pour six ans. Le maire est ensuite élu par le conseil municipal pour la même durée.</t>
  </si>
  <si>
    <t>Retenez : Maire et conseil municipal élus pour six ans</t>
  </si>
  <si>
    <t>Connaître le fonctionnement des collectivités territoriales.</t>
  </si>
  <si>
    <t>Maire; Conseil municipal; Mandat</t>
  </si>
  <si>
    <t>📚 Thématique 2 – Institutions 📖 Glossaire - Conseil municipal</t>
  </si>
  <si>
    <t>CR-T2-005</t>
  </si>
  <si>
    <t>Que garantit l'État de droit ?</t>
  </si>
  <si>
    <t>Le pouvoir absolu de l'État.</t>
  </si>
  <si>
    <t>Le respect des lois, des libertés et des droits fondamentaux.</t>
  </si>
  <si>
    <t>L'absence de lois.</t>
  </si>
  <si>
    <t>Le pouvoir du Président uniquement.</t>
  </si>
  <si>
    <t>Dans un État de droit, les lois protègent les libertés et les droits fondamentaux de toutes les personnes. Les autorités publiques doivent également respecter ces règles.</t>
  </si>
  <si>
    <t>Retenez : État de droit veille au respect des lois, des droits et des libertés</t>
  </si>
  <si>
    <t>Comprendre les principes fondamentaux de l'État de droit.</t>
  </si>
  <si>
    <t>État de droit; Libertés; Droits fondamentaux; Loi</t>
  </si>
  <si>
    <t>📚 Thématique 2 – Institutions 📖 Glossaire - État de droit - Droits fondamentaux</t>
  </si>
  <si>
    <t>CR-T2-006</t>
  </si>
  <si>
    <t>Élections et vie démocratique</t>
  </si>
  <si>
    <t>Une personne peut-elle voter à la place d'une autre ?</t>
  </si>
  <si>
    <t>Oui si elle vote par procuration dans les conditions prévues par la loi.</t>
  </si>
  <si>
    <t xml:space="preserve">Non c'est impossible. </t>
  </si>
  <si>
    <t xml:space="preserve">Oui mais uniquement si c'est un membre de la famille. </t>
  </si>
  <si>
    <t xml:space="preserve">Non, le nom et prénom de la personne indiqué sur la carte électorale et la seule qui peut voter. </t>
  </si>
  <si>
    <t>Le vote est personnel. Lorsqu'un électeur ne peut pas se déplacer, il peut donner procuration à une autre personne selon une procédure prévue par la loi.</t>
  </si>
  <si>
    <t>Retenez : La procuration = quelqu'un qui peut voter à notre place</t>
  </si>
  <si>
    <t>Connaître les règles du vote.</t>
  </si>
  <si>
    <t>Vote; Procuration; Élections</t>
  </si>
  <si>
    <t>📚 Thématique 2 – Vie démocratique 📖 Glossaire - Procuration</t>
  </si>
  <si>
    <t>CR-T2-007</t>
  </si>
  <si>
    <t>Est-ce que le vote est obligatoire ?</t>
  </si>
  <si>
    <t>Oui, c'est un devoir du citoyen inscrit dans le contrat d'engagement.</t>
  </si>
  <si>
    <t xml:space="preserve">Non seulement pour les élections présidentielles. </t>
  </si>
  <si>
    <t xml:space="preserve">Oui, cela est même inscrit dans la constitution. </t>
  </si>
  <si>
    <t>En France, le vote est un droit civique. Il est libre : chacun peut choisir de voter ou de s'abstenir.</t>
  </si>
  <si>
    <t>Retenez : Le vote = non obligatoire</t>
  </si>
  <si>
    <t>Connaître les principes du droit de vote.</t>
  </si>
  <si>
    <t>Vote; Citoyenneté; Abstention</t>
  </si>
  <si>
    <t>📚 Thématique 2 – Vie démocratique 📖 Glossaire - Droit de vote</t>
  </si>
  <si>
    <t>CR-T2-008</t>
  </si>
  <si>
    <t>À la fin de son mandat, le président de la République peut-il décider de rester au pouvoir ?</t>
  </si>
  <si>
    <t xml:space="preserve">Oui si un référendum est voté. </t>
  </si>
  <si>
    <t>Oui il peut l'imposer au peuple français.</t>
  </si>
  <si>
    <t>Oui avec l'accord du Gouvernement.</t>
  </si>
  <si>
    <t>Le mandat présidentiel est limité dans le temps. En démocratie, le renouvellement des mandats s'effectue par l'élection.</t>
  </si>
  <si>
    <t>Retenez : Le Président est élu pour accéder au pouvoir</t>
  </si>
  <si>
    <t>Comprendre le fonctionnement démocratique des institutions.</t>
  </si>
  <si>
    <t>Président; Mandat; Élection; Constitution</t>
  </si>
  <si>
    <t>📚 Thématique 2 – Institutions 📖 Glossaire - Mandat présidentiel</t>
  </si>
  <si>
    <t>CR-T2-009</t>
  </si>
  <si>
    <t>Qui dirige l'action du Gouvernement ?</t>
  </si>
  <si>
    <t>Le Premier ministre.</t>
  </si>
  <si>
    <t>Le Président de la République.</t>
  </si>
  <si>
    <t>Le Sénat.</t>
  </si>
  <si>
    <t>L'Assemblée nationale.</t>
  </si>
  <si>
    <t>Selon la Constitution, le Premier ministre dirige l'action du Gouvernement et veille à l'exécution des lois.</t>
  </si>
  <si>
    <t>Retenez : Premier ministre dirige l'action du gouvernement</t>
  </si>
  <si>
    <t>Connaître le fonctionnement du pouvoir exécutif.</t>
  </si>
  <si>
    <t>Premier ministre; Gouvernement; Pouvoir exécutif</t>
  </si>
  <si>
    <t>📚 Thématique 2 – Institutions 📖 Glossaire - Premier ministre</t>
  </si>
  <si>
    <t>CR-T2-010</t>
  </si>
  <si>
    <t>Qui nomme le Premier ministre ?</t>
  </si>
  <si>
    <t>Le Parlement.</t>
  </si>
  <si>
    <t>Les députés.</t>
  </si>
  <si>
    <t>Les électeurs.</t>
  </si>
  <si>
    <t>Le Président de la République nomme le Premier ministre. Celui-ci dirige ensuite l'action du Gouvernement.</t>
  </si>
  <si>
    <t>Retenez : Le Président nomme 1er ministre</t>
  </si>
  <si>
    <t>Connaître le fonctionnement des institutions françaises.</t>
  </si>
  <si>
    <t>Président; Premier ministre; Nomination</t>
  </si>
  <si>
    <t>📚 Thématique 2 – Institutions 📖 Glossaire - Président de la République - Premier ministre</t>
  </si>
  <si>
    <t>CR-T2-011</t>
  </si>
  <si>
    <t>Quelle est l'organisation administrative de la France ?</t>
  </si>
  <si>
    <t>Cantons uniquement.</t>
  </si>
  <si>
    <t>Provinces.</t>
  </si>
  <si>
    <t>La France est organisée en communes, départements et régions.</t>
  </si>
  <si>
    <t>États fédérés.</t>
  </si>
  <si>
    <t>Le territoire français est organisé en plusieurs collectivités territoriales. Les principales sont les communes, les départements et les régions.</t>
  </si>
  <si>
    <t>Retenez : Région -&gt; Département -&gt; Commune</t>
  </si>
  <si>
    <t>Connaître l'organisation territoriale de la France.</t>
  </si>
  <si>
    <t>Commune; Département; Région; Collectivités territoriales</t>
  </si>
  <si>
    <t>📚 Thématique 2 – Organisation administrative 📖 Glossaire - Collectivité territoriale</t>
  </si>
  <si>
    <t>CR-T2-012</t>
  </si>
  <si>
    <t>Qu'est-ce que le pouvoir législatif ?</t>
  </si>
  <si>
    <t>Faire appliquer les lois.</t>
  </si>
  <si>
    <t>Juger les personnes.</t>
  </si>
  <si>
    <t>Diriger les communes.</t>
  </si>
  <si>
    <t>Discuter et voter les lois.</t>
  </si>
  <si>
    <t>Le pouvoir législatif est exercé par le Parlement. Il consiste à débattre, modifier et voter les lois.</t>
  </si>
  <si>
    <t>Retenez : Le Pouvoir législatif discute, modifie et fait voter les lois</t>
  </si>
  <si>
    <t>Comprendre la séparation des pouvoirs.</t>
  </si>
  <si>
    <t>Pouvoir législatif; Parlement; Lois</t>
  </si>
  <si>
    <t>📚 Thématique 2 – Institutions 📖 Glossaire - Pouvoir législatif</t>
  </si>
  <si>
    <t>CR-T2-013</t>
  </si>
  <si>
    <t>Pourquoi séparer les trois pouvoirs dans une démocratie ?</t>
  </si>
  <si>
    <t>Pour éviter qu'une seule personne ou qu'un seul pouvoir concentre tous les pouvoirs.</t>
  </si>
  <si>
    <t>Pour compliquer les décisions.</t>
  </si>
  <si>
    <t>Pour donner plus de pouvoir au Président.</t>
  </si>
  <si>
    <t>Pour empêcher les lois.</t>
  </si>
  <si>
    <t>La démocratie repose sur la séparation des pouvoirs exécutif, législatif et judiciaire afin de garantir les libertés et d'éviter les abus de pouvoir.</t>
  </si>
  <si>
    <t>Retenez : La séparation des pouvoirs = éviter les abus de pouvoir (ex : dictature)</t>
  </si>
  <si>
    <t>Séparation des pouvoirs; Démocratie; Équilibre</t>
  </si>
  <si>
    <t>📚 Thématique 2 – Institutions 📖 Glossaire - Séparation des pouvoirs</t>
  </si>
  <si>
    <t>CR-T2-014</t>
  </si>
  <si>
    <t>Qui sanctionne l'auteur d'un vol ?</t>
  </si>
  <si>
    <t>La gendarmerie.</t>
  </si>
  <si>
    <t>Le juge.</t>
  </si>
  <si>
    <t>Le Président.</t>
  </si>
  <si>
    <t>La police.</t>
  </si>
  <si>
    <t>La police enquête sur les infractions, mais c'est le juge qui décide de la sanction dans le respect de la loi.</t>
  </si>
  <si>
    <t>Retenez : Le juge sanctionne</t>
  </si>
  <si>
    <t>Comprendre le rôle de l'autorité judiciaire.</t>
  </si>
  <si>
    <t>Juge; Justice; Tribunal</t>
  </si>
  <si>
    <t>📚 Thématique 2 – Justice 📖 Glossaire - Juge - Tribunal</t>
  </si>
  <si>
    <t>CR-T2-015</t>
  </si>
  <si>
    <t>Quel est le rôle du Gouvernement ?</t>
  </si>
  <si>
    <t>Voter les lois.</t>
  </si>
  <si>
    <t>Juger les citoyens.</t>
  </si>
  <si>
    <t>Déterminer et conduire la politique de la Nation.</t>
  </si>
  <si>
    <t>Organiser les élections.</t>
  </si>
  <si>
    <t>Le Gouvernement met en œuvre les politiques publiques et veille à l'application des lois. Il est dirigé par le Premier ministre.</t>
  </si>
  <si>
    <t>Retenez : Le gouvernement conduit les politiques de la Nation et les décisions</t>
  </si>
  <si>
    <t>Connaître le rôle du Gouvernement.</t>
  </si>
  <si>
    <t>Gouvernement; Premier ministre; Politique de la Nation</t>
  </si>
  <si>
    <t>📚 Thématique 2 – Institutions 📖 Glossaire - Gouvernement</t>
  </si>
  <si>
    <t>CR-T2-016</t>
  </si>
  <si>
    <t>Que se passe-t-il si un ministre ne respecte pas la loi ?</t>
  </si>
  <si>
    <t>Rien, il est protégé durant son mandat.</t>
  </si>
  <si>
    <t>Il peut être poursuivi et sanctionné par la justice.</t>
  </si>
  <si>
    <t>Le Président décide seul de sa sanction.</t>
  </si>
  <si>
    <t>En France, les membres du Gouvernement doivent respecter la loi. Ils ne sont pas au-dessus des lois et peuvent être tenus responsables de leurs actes.</t>
  </si>
  <si>
    <t>Retenez : Les ministres sont jugés comme tout le monde</t>
  </si>
  <si>
    <t>Comprendre le principe d'égalité devant la loi.</t>
  </si>
  <si>
    <t>Ministre; Justice; Responsabilité</t>
  </si>
  <si>
    <t>📚 Thématique 2 – Institutions 📖 Glossaire - Gouvernement - Responsabilité</t>
  </si>
  <si>
    <t>CR-T2-017</t>
  </si>
  <si>
    <t>Combien de députés composent l'Assemblée nationale ?</t>
  </si>
  <si>
    <t>348.</t>
  </si>
  <si>
    <t>705.</t>
  </si>
  <si>
    <t>925.</t>
  </si>
  <si>
    <t>577.</t>
  </si>
  <si>
    <t>L'Assemblée nationale est composée de 577 députés élus au suffrage universel direct.</t>
  </si>
  <si>
    <t>Retenez : Assemblée nationale = 577 sièges</t>
  </si>
  <si>
    <t>Connaître les principales institutions françaises.</t>
  </si>
  <si>
    <t>Assemblée nationale; Députés; 577</t>
  </si>
  <si>
    <t>📚 Thématique 2 – Institutions 📖 Glossaire - Assemblée nationale - Député</t>
  </si>
  <si>
    <t>CR-T2-018</t>
  </si>
  <si>
    <t>Qui peut voter aux élections en France ?</t>
  </si>
  <si>
    <t>Toutes les personnes qui vivent en France.</t>
  </si>
  <si>
    <t>Toutes les personnes possédant un titre de séjour.</t>
  </si>
  <si>
    <t>Les citoyens français inscrits sur les listes électorales.</t>
  </si>
  <si>
    <t>Toutes les personnes âgées de plus de 18 ans.</t>
  </si>
  <si>
    <t>Pour voter aux élections nationales en France, il faut être citoyen français, être majeur et être inscrit sur les listes électorales.</t>
  </si>
  <si>
    <t>Retenez : Pour voter, il faut trois conditions : 
- Etre majeur
- Etre citoyen français
- Etre inscrit sur les listes électorales</t>
  </si>
  <si>
    <t>Connaître les conditions générales du droit de vote.</t>
  </si>
  <si>
    <t>Vote; Citoyenneté; Listes électorales</t>
  </si>
  <si>
    <t>📚 Thématique 2 – Vie démocratique 📖 Glossaire - Liste électorale - Droit de vote</t>
  </si>
  <si>
    <t>CR-T2-019</t>
  </si>
  <si>
    <t>Pour combien de temps sont élus les sénateurs ?</t>
  </si>
  <si>
    <t>Cinq ans.</t>
  </si>
  <si>
    <t>Sept ans.</t>
  </si>
  <si>
    <t>Neuf ans.</t>
  </si>
  <si>
    <t>Six ans.</t>
  </si>
  <si>
    <t>Les sénateurs sont élus pour un mandat de six ans. Le Sénat est renouvelé par moitié tous les trois ans.</t>
  </si>
  <si>
    <t xml:space="preserve">Retenez : Un sénateur = six ans </t>
  </si>
  <si>
    <t>Connaître le fonctionnement du Parlement.</t>
  </si>
  <si>
    <t>Sénat; Sénateurs; Mandat</t>
  </si>
  <si>
    <t>📚 Thématique 2 – Institutions 📖 Glossaire - Sénat</t>
  </si>
  <si>
    <t>CR-T2-020</t>
  </si>
  <si>
    <t>La séparation des pouvoirs est un principe fondamental. Quels sont les trois pouvoirs concernés ?</t>
  </si>
  <si>
    <t xml:space="preserve">Le pouvoir présidentiel, le pouvoir gourvenemental et le pouvoir parlementaire. </t>
  </si>
  <si>
    <t xml:space="preserve">Le pouvoir policier, le pouvoir judiciaire et le pouvoir de l'armée. </t>
  </si>
  <si>
    <t>Le pouvoir exécutif, le pouvoir législatif et le pouvoir judiciaire.</t>
  </si>
  <si>
    <t>Le pouvoir de la justice, le pouvoir exécutif, le pouvoir du citoyen.</t>
  </si>
  <si>
    <t>La séparation des pouvoirs permet d'assurer un équilibre entre les institutions. Le pouvoir exécutif gouverne, le pouvoir législatif vote les lois et le pouvoir judiciaire rend la justice.</t>
  </si>
  <si>
    <t xml:space="preserve">Retenez : Exécutif (gouverne), Légistatif (lois), Judiciaire (justice) </t>
  </si>
  <si>
    <t>Comprendre le fonctionnement des institutions démocratiques.</t>
  </si>
  <si>
    <t>Exécutif; Législatif; Judiciaire; Séparation des pouvoirs</t>
  </si>
  <si>
    <t>📚 Thématique 2 – Institutions 📖 Glossaire - Pouvoir exécutif - Pouvoir législatif - Pouvoir judiciaire</t>
  </si>
  <si>
    <t>CR-T2-021</t>
  </si>
  <si>
    <t>Est-ce que le président de la République a tous les pouvoirs ?</t>
  </si>
  <si>
    <t>Oui mais il doit consulter ses ministres avant toutes décisions.</t>
  </si>
  <si>
    <t>Oui, il décide de tout.</t>
  </si>
  <si>
    <t>Oui, il peut modifier les lois seul.</t>
  </si>
  <si>
    <t>La France est une démocratie fondée sur la séparation des pouvoirs. Le président exerce des responsabilités importantes mais ne détient pas tous les pouvoirs.</t>
  </si>
  <si>
    <t>Retenez : En France, les pouvoirs sont séparés pour éviter les abus</t>
  </si>
  <si>
    <t>Comprendre le fonctionnement des institutions.</t>
  </si>
  <si>
    <t>Président; Séparation des pouvoirs; Constitution</t>
  </si>
  <si>
    <t>CR-T2-022</t>
  </si>
  <si>
    <t>Qui est le préfet ?</t>
  </si>
  <si>
    <t>Un maire qui gère plusieurs communes</t>
  </si>
  <si>
    <t>Le représentant de l'État dans un département.</t>
  </si>
  <si>
    <t>Le président du département.</t>
  </si>
  <si>
    <t xml:space="preserve">Un député qui responsable de plusieurs départements. </t>
  </si>
  <si>
    <t>Le préfet représente l'État dans le département. Il veille notamment à l'application des lois et coordonne les services de l'État.</t>
  </si>
  <si>
    <t>Retenez : Le Préfet = représentant de l'Etat dans un département</t>
  </si>
  <si>
    <t>Connaître l'organisation administrative de la France.</t>
  </si>
  <si>
    <t>Préfet; État; Département</t>
  </si>
  <si>
    <t>📚 Thématique 2 – Organisation administrative 📖 Glossaire - Préfet</t>
  </si>
  <si>
    <t>CR-T2-023</t>
  </si>
  <si>
    <t>Quelle condition est nécessaire pour voter aux élections ?</t>
  </si>
  <si>
    <t>Posséder un passeport.</t>
  </si>
  <si>
    <t>Avoir un permis de conduire.</t>
  </si>
  <si>
    <t>Être salarié.</t>
  </si>
  <si>
    <t>Être inscrit sur les listes électorales.</t>
  </si>
  <si>
    <t>Pour pouvoir voter, il faut remplir les conditions prévues par la loi, notamment être inscrit sur les listes électorales.</t>
  </si>
  <si>
    <t>Connaître les conditions du droit de vote.</t>
  </si>
  <si>
    <t>Vote; Listes électorales; Citoyenneté</t>
  </si>
  <si>
    <t>📚 Thématique 2 – Vie démocratique 📖 Glossaire - Liste électorale</t>
  </si>
  <si>
    <t>CR-T2-024</t>
  </si>
  <si>
    <t>Qui dirige la commune ?</t>
  </si>
  <si>
    <t>Le préfet.</t>
  </si>
  <si>
    <t>Le député.</t>
  </si>
  <si>
    <t>Le maire.</t>
  </si>
  <si>
    <t>Le maire est élu par le conseil municipal. Il dirige la commune et met en œuvre les décisions du conseil municipal.</t>
  </si>
  <si>
    <t>Retenez : Maire = commune</t>
  </si>
  <si>
    <t>Connaître l'organisation des collectivités territoriales.</t>
  </si>
  <si>
    <t>Maire; Commune; Conseil municipal</t>
  </si>
  <si>
    <t>📚 Thématique 2 – Organisation territoriale 📖 Glossaire - Maire - Commune</t>
  </si>
  <si>
    <t>CR-T2-025</t>
  </si>
  <si>
    <t>Quel est le régime politique de la France aujourd'hui ?</t>
  </si>
  <si>
    <t>Une monarchie.</t>
  </si>
  <si>
    <t>Une République.</t>
  </si>
  <si>
    <t>Un empire.</t>
  </si>
  <si>
    <t>Une fédération.</t>
  </si>
  <si>
    <t>La France est une République indivisible, laïque, démocratique et sociale, conformément à l'article 1er de la Constitution.</t>
  </si>
  <si>
    <t>Retenez : France = République.</t>
  </si>
  <si>
    <t>Connaître les principes fondamentaux des institutions françaises.</t>
  </si>
  <si>
    <t>République; Constitution; Démocratie</t>
  </si>
  <si>
    <t>📚 Thématique 2 – Institutions 📖 Glossaire - République - Constitution ---</t>
  </si>
  <si>
    <t>CR-T2-026</t>
  </si>
  <si>
    <t>Qu'est-ce que l'Hôtel de Matignon ?</t>
  </si>
  <si>
    <t xml:space="preserve">La résidence officielle et le lieu de travail du Président de la République. </t>
  </si>
  <si>
    <t xml:space="preserve">Le bâtiment où préside l'Assemblée nationnale. </t>
  </si>
  <si>
    <t>La chambre du sénat.</t>
  </si>
  <si>
    <t>La résidence officielle et le lieu de travail du Premier ministre.</t>
  </si>
  <si>
    <t>L'Hôtel de Matignon est situé à Paris. C'est là que le Premier ministre exerce ses principales fonctions.</t>
  </si>
  <si>
    <t>Retenez : Matignon = Lieu du 1er ministre</t>
  </si>
  <si>
    <t>Matignon; Premier ministre; Gouvernement</t>
  </si>
  <si>
    <t>📚 Thématique 2 – Institutions 📖 Glossaire - Hôtel de Matignon</t>
  </si>
  <si>
    <t>CR-T2-027</t>
  </si>
  <si>
    <t>Le Parlement est composé :</t>
  </si>
  <si>
    <t>Du Président de la République et du Gouvernement.</t>
  </si>
  <si>
    <t>Des préfets et des maires.</t>
  </si>
  <si>
    <t>De l'Assemblée nationale et du Sénat.</t>
  </si>
  <si>
    <t>Du Conseil constitutionnel et du Conseil d'État.</t>
  </si>
  <si>
    <t>Le Parlement français est composé de deux chambres : l'Assemblée nationale et le Sénat. Ensemble, elles discutent et votent les lois.</t>
  </si>
  <si>
    <t>Retenez : Le Parlement = Une maison avec deux chambres. La chambre de l'Assemblée nationale et le Sénat</t>
  </si>
  <si>
    <t>Connaître la composition du Parlement.</t>
  </si>
  <si>
    <t>Parlement; Assemblée nationale; Sénat</t>
  </si>
  <si>
    <t>📚 Thématique 2 – Institutions 📖 Glossaire - Parlement</t>
  </si>
  <si>
    <t>CR-T2-028</t>
  </si>
  <si>
    <t>Quel est le rôle du président de la République ?</t>
  </si>
  <si>
    <t>Il vote les lois.</t>
  </si>
  <si>
    <t>Il veille au respect de la Constitution et assure le fonctionnement régulier des pouvoirs publics.</t>
  </si>
  <si>
    <t>Il rend la justice.</t>
  </si>
  <si>
    <t>Il dirige les communes.</t>
  </si>
  <si>
    <t>Le président de la République est le chef de l'État. Il veille au respect de la Constitution et assure le fonctionnement régulier des pouvoirs publics.</t>
  </si>
  <si>
    <t>Retenez : Le Président = chef de l'Etat (fait respecter la Constituion et fait fonctionner les pouvoirs publics)</t>
  </si>
  <si>
    <t>Connaître le rôle du président de la République.</t>
  </si>
  <si>
    <t>Président; Constitution; Chef de l'État</t>
  </si>
  <si>
    <t>📚 Thématique 2 – Institutions 📖 Glossaire - Président de la République</t>
  </si>
  <si>
    <t>CR-T2-029</t>
  </si>
  <si>
    <t>Quel est le rôle du Premier ministre ?</t>
  </si>
  <si>
    <t>Il dirige l'action du Gouvernement.</t>
  </si>
  <si>
    <t>Il représente le département.</t>
  </si>
  <si>
    <t>Il est le chef du Parlement.</t>
  </si>
  <si>
    <t>Le Premier ministre coordonne le travail des ministres et veille à l'application des décisions du Gouvernement.</t>
  </si>
  <si>
    <t>Retenez : Premier ministre = chef du gouvernement (gère les ministres et applique les décisions du gouvernement)</t>
  </si>
  <si>
    <t>Connaître le rôle du Premier ministre.</t>
  </si>
  <si>
    <t>Premier ministre; Gouvernement</t>
  </si>
  <si>
    <t>CR-T2-030</t>
  </si>
  <si>
    <t>Qui est le chef du Gouvernement ?</t>
  </si>
  <si>
    <t>Le président du Sénat.</t>
  </si>
  <si>
    <t>Le ministre de l'Intérieur.</t>
  </si>
  <si>
    <t>Le Premier ministre est le chef du Gouvernement. Il dirige son action et coordonne le travail des ministres.</t>
  </si>
  <si>
    <t xml:space="preserve">Retenez : Premier ministre = chef du gouvernement </t>
  </si>
  <si>
    <t>Connaître l'organisation du pouvoir exécutif.</t>
  </si>
  <si>
    <t>📚 Thématique 2 – Institutions 📖 Glossaire - Gouvernement - Premier ministre</t>
  </si>
  <si>
    <t>CR-T2-031</t>
  </si>
  <si>
    <t>Combien y a-t-il de régions en France ?</t>
  </si>
  <si>
    <t>13.</t>
  </si>
  <si>
    <t>18.</t>
  </si>
  <si>
    <t>22.</t>
  </si>
  <si>
    <t>101.</t>
  </si>
  <si>
    <t>Depuis la réforme territoriale de 2016, la France compte 18 régions : 13 en métropole et 5 en outre-mer.</t>
  </si>
  <si>
    <t>Retenez : 13 (en France) + 5 (îles) = 18 régions</t>
  </si>
  <si>
    <t>Régions; France; Organisation territoriale</t>
  </si>
  <si>
    <t>📚 Thématique 2 – Organisation territoriale 📖 Glossaire - Région</t>
  </si>
  <si>
    <t>CR-T2-032</t>
  </si>
  <si>
    <t>Quel est le rôle du Défenseur des droits ?</t>
  </si>
  <si>
    <t>Il protège les droits et les libertés des personnes.</t>
  </si>
  <si>
    <t>Il juge les personnes.</t>
  </si>
  <si>
    <t>Il dirige le Gouvernement.</t>
  </si>
  <si>
    <t>Le Défenseur des droits est une autorité indépendante. Il aide les personnes dont les droits ne sont pas respectés et lutte notamment contre les discriminations.</t>
  </si>
  <si>
    <t xml:space="preserve">Retenez : Défenseur des droits protège les droits </t>
  </si>
  <si>
    <t>Connaître les institutions indépendantes.</t>
  </si>
  <si>
    <t>Défenseur des droits; Libertés; Droits</t>
  </si>
  <si>
    <t>📚 Thématique 2 – Institutions 📖 Glossaire - Défenseur des droits</t>
  </si>
  <si>
    <t>CR-T2-033</t>
  </si>
  <si>
    <t>Depuis quand l'euro est-il la monnaie unique ?</t>
  </si>
  <si>
    <t>2002.</t>
  </si>
  <si>
    <t>1992.</t>
  </si>
  <si>
    <t>1999.</t>
  </si>
  <si>
    <t>2005.</t>
  </si>
  <si>
    <t>L'euro est utilisé sous forme de pièces et de billets depuis le 1er janvier 2002 dans les pays de la zone euro.</t>
  </si>
  <si>
    <t>Retenez : Euro = 2002</t>
  </si>
  <si>
    <t>Connaître les principales dates de la construction européenne.</t>
  </si>
  <si>
    <t>Euro; 2002; Union européenne</t>
  </si>
  <si>
    <t>📚 Thématique 2 – Union européenne 📖 Glossaire - Euro</t>
  </si>
  <si>
    <t>CR-T2-034</t>
  </si>
  <si>
    <t>Quel est le rôle principal du département ?</t>
  </si>
  <si>
    <t>Diriger le Gouvernement.</t>
  </si>
  <si>
    <t>Représenter l'État.</t>
  </si>
  <si>
    <t>L'action sociale et les solidarités.</t>
  </si>
  <si>
    <t>Le département intervient notamment dans les domaines de l'aide sociale, de la protection de l'enfance, des personnes âgées et des personnes en situation de handicap.</t>
  </si>
  <si>
    <t>Retenez : Département = action sociale et solidarités</t>
  </si>
  <si>
    <t>Connaître les compétences des collectivités territoriales.</t>
  </si>
  <si>
    <t>Département; Action sociale; Solidarité</t>
  </si>
  <si>
    <t>📚 Thématique 2 – Collectivités territoriales 📖 Glossaire - Département</t>
  </si>
  <si>
    <t>CR-T2-035</t>
  </si>
  <si>
    <t>Quel est le rôle principal des communes ?</t>
  </si>
  <si>
    <t>Gérer les lycées.</t>
  </si>
  <si>
    <t>Gérer les services de proximité.</t>
  </si>
  <si>
    <t>La commune est la collectivité la plus proche des habitants. Elle gère de nombreux services utiles au quotidien.</t>
  </si>
  <si>
    <t>Retenez : Commune = gestion de proximité</t>
  </si>
  <si>
    <t>Connaître les compétences des communes.</t>
  </si>
  <si>
    <t>Commune; Mairie; Services publics</t>
  </si>
  <si>
    <t>📚 Thématique 2 – Collectivités territoriales 📖 Glossaire - Commune</t>
  </si>
  <si>
    <t>CR-T2-036</t>
  </si>
  <si>
    <t>Combien de communes environ existe-t-il en France ?</t>
  </si>
  <si>
    <t>1200.</t>
  </si>
  <si>
    <t>35000.</t>
  </si>
  <si>
    <t>3050.</t>
  </si>
  <si>
    <t>La France compte environ 35 000 communes, ce qui en fait l'un des pays européens ayant le plus grand nombre de communes.</t>
  </si>
  <si>
    <t>Retenez : Nbrs communes = 35000</t>
  </si>
  <si>
    <t>Commune; Organisation territoriale</t>
  </si>
  <si>
    <t>CR-T2-037</t>
  </si>
  <si>
    <t>Quel traité concerne la construction de l'Union européenne ?</t>
  </si>
  <si>
    <t>Le traité de Maastricht.</t>
  </si>
  <si>
    <t>Le traité de Versailles.</t>
  </si>
  <si>
    <t>Le traité de Rome.</t>
  </si>
  <si>
    <t>Le traité de Paris.</t>
  </si>
  <si>
    <t>Signé en 1992, le traité de Maastricht fonde officiellement l'Union européenne et renforce la coopération entre les États membres.</t>
  </si>
  <si>
    <t>Retenez : Traité de Maastricht = Fondation Union européenne</t>
  </si>
  <si>
    <t>Connaître les grandes étapes de la construction européenne.</t>
  </si>
  <si>
    <t>Union européenne; Maastricht; Traité</t>
  </si>
  <si>
    <t>📚 Thématique 2 – Union européenne 📖 Glossaire - Traité de Maastricht</t>
  </si>
  <si>
    <t>CR-T2-038</t>
  </si>
  <si>
    <t>Quel État a quitté l'Union européenne en 2020 ?</t>
  </si>
  <si>
    <t>L'Allemagne.</t>
  </si>
  <si>
    <t>Le Royaume-Uni.</t>
  </si>
  <si>
    <t>L'Italie.</t>
  </si>
  <si>
    <t>L'Espagne.</t>
  </si>
  <si>
    <t>Le Royaume-Uni a quitté officiellement l'Union européenne le 31 janvier 2020. Cet événement est connu sous le nom de « Brexit ».</t>
  </si>
  <si>
    <t>Retenez le mot-clé : Brexit = Britain exit (sortie Grande-Bretagne)</t>
  </si>
  <si>
    <t>Connaître l'actualité récente de l'Union européenne.</t>
  </si>
  <si>
    <t>Brexit; Royaume-Uni; Union européenne</t>
  </si>
  <si>
    <t>📚 Thématique 2 – Union européenne 📖 Glossaire - Brexit</t>
  </si>
  <si>
    <t>CR-T2-039</t>
  </si>
  <si>
    <t>Quelle est la devise de l'Union européenne ?</t>
  </si>
  <si>
    <t>Unie dans la diversité.</t>
  </si>
  <si>
    <t>Paix, Justice et société.</t>
  </si>
  <si>
    <t>Tous différents, tous égaux.</t>
  </si>
  <si>
    <t>La devise de l'Union européenne est « Unie dans la diversité ». Elle souligne que les États membres coopèrent tout en conservant leurs langues, leurs cultures et leurs traditions.</t>
  </si>
  <si>
    <t>Retenez : Union européenne = Unie</t>
  </si>
  <si>
    <t>Connaître les symboles de l'Union européenne.</t>
  </si>
  <si>
    <t>Union européenne; Devise; Diversité</t>
  </si>
  <si>
    <t>📚 Thématique 2 – Union européenne 📖 Glossaire - Devise de l'Union européenne</t>
  </si>
  <si>
    <t>CR-T2-040</t>
  </si>
  <si>
    <t>Quel est l'hymne de l'Union européenne ?</t>
  </si>
  <si>
    <t>La Marseillaise.</t>
  </si>
  <si>
    <t>L'Ode à la Joie.</t>
  </si>
  <si>
    <t>Le Requiem de Mozart.</t>
  </si>
  <si>
    <t>Fratelli d'Italia.</t>
  </si>
  <si>
    <t>L'hymne européen est l'« Ode à la Joie », extraite de la Neuvième Symphonie de Ludwig van Beethoven. Il symbolise les valeurs de paix et d'unité de l'Union européenne.</t>
  </si>
  <si>
    <t>Retenez : Chanson Union = Ode à la joie</t>
  </si>
  <si>
    <t>Union européenne; Hymne; Beethoven</t>
  </si>
  <si>
    <t>📚 Thématique 2 – Union européenne 📖 Glossaire - Hymne européen</t>
  </si>
  <si>
    <t>CR-T2-041</t>
  </si>
  <si>
    <t>De quoi est composé le drapeau européen ?</t>
  </si>
  <si>
    <t>12 étoiles jaunes.</t>
  </si>
  <si>
    <t>27 étoiles jaunes.</t>
  </si>
  <si>
    <t>15 étoiles blanches.</t>
  </si>
  <si>
    <t>7 étoiles jaunes.</t>
  </si>
  <si>
    <t>Les douze étoiles symbolisent l'unité, la solidarité et l'harmonie entre les peuples d'Europe. Elles ne représentent pas le nombre d'États membres.</t>
  </si>
  <si>
    <t>Retenez : Les étoiles ne symbolisent pas les Etats membres mais des symboles comme la solidarité, l'unité…</t>
  </si>
  <si>
    <t>Drapeau européen; Union européenne; Étoiles</t>
  </si>
  <si>
    <t>📚 Thématique 2 – Union européenne 📖 Glossaire - Drapeau européen</t>
  </si>
  <si>
    <t>CR-T2-042</t>
  </si>
  <si>
    <t>De quelle couleur est le drapeau européen ?</t>
  </si>
  <si>
    <t>Rouge.</t>
  </si>
  <si>
    <t>Bleu.</t>
  </si>
  <si>
    <t>Vert.</t>
  </si>
  <si>
    <t>Bleu-blanc-rouge.</t>
  </si>
  <si>
    <t>Le drapeau européen est bleu avec un cercle de douze étoiles jaunes.</t>
  </si>
  <si>
    <t>Retenez : Drapeau européen = Bleu avec étoiles jaunes</t>
  </si>
  <si>
    <t>Drapeau européen; Bleu; Union européenne</t>
  </si>
  <si>
    <t>CR-T2-043</t>
  </si>
  <si>
    <t>En quelle année le traité de Maastricht, qui marque la fondation de l'Union européenne, a-t-il été signé ?</t>
  </si>
  <si>
    <t>1957.</t>
  </si>
  <si>
    <t>1989.</t>
  </si>
  <si>
    <t>Le traité de Maastricht a été signé en 1992. Il marque la naissance de l'Union européenne.</t>
  </si>
  <si>
    <t>Retenez : Maastricht = 1992</t>
  </si>
  <si>
    <t>Connaître les grandes dates de la construction européenne.</t>
  </si>
  <si>
    <t>Maastricht; 1992; Union européenne</t>
  </si>
  <si>
    <t>CR-T2-044</t>
  </si>
  <si>
    <t>Où est le siège du Parlement européen ?</t>
  </si>
  <si>
    <t>Bruxelles.</t>
  </si>
  <si>
    <t>Luxembourg.</t>
  </si>
  <si>
    <t>Paris.</t>
  </si>
  <si>
    <t>Strasbourg.</t>
  </si>
  <si>
    <t>Le Parlement européen siège principalement à Strasbourg. Certaines activités sont également organisées à Bruxelles et au Luxembourg.</t>
  </si>
  <si>
    <r>
      <t>Retenez : Parlement européen = Strasbourg (Dans le mot "Parlement" il y a le "</t>
    </r>
    <r>
      <rPr>
        <b/>
        <sz val="12"/>
        <rFont val="Carlito"/>
      </rPr>
      <t>a"</t>
    </r>
    <r>
      <rPr>
        <sz val="11"/>
        <rFont val="Carlito"/>
      </rPr>
      <t xml:space="preserve"> de Str</t>
    </r>
    <r>
      <rPr>
        <b/>
        <sz val="11"/>
        <rFont val="Carlito"/>
      </rPr>
      <t>a</t>
    </r>
    <r>
      <rPr>
        <sz val="11"/>
        <rFont val="Carlito"/>
      </rPr>
      <t>sbourg)
Commission européenne = Bruxelles</t>
    </r>
  </si>
  <si>
    <t>Connaître les institutions européennes.</t>
  </si>
  <si>
    <t>Parlement européen; Strasbourg; Union européenne</t>
  </si>
  <si>
    <t>📚 Thématique 2 – Union européenne 📖 Glossaire - Parlement européen</t>
  </si>
  <si>
    <t>CR-T2-045</t>
  </si>
  <si>
    <t>Où est le siège de la Commission européenne ?</t>
  </si>
  <si>
    <t>Francfort.</t>
  </si>
  <si>
    <t>La Commission européenne siège à Bruxelles. Elle propose les lois européennes et veille à leur application.</t>
  </si>
  <si>
    <t>Commission européenne; Bruxelles; Union européenne</t>
  </si>
  <si>
    <t>📚 Thématique 2 – Union européenne 📖 Glossaire - Commission européenne</t>
  </si>
  <si>
    <t>CR-T2-046</t>
  </si>
  <si>
    <t>Quel État n'est pas membre de l'Union européenne ?</t>
  </si>
  <si>
    <t>Suisse.</t>
  </si>
  <si>
    <t>Espagne.</t>
  </si>
  <si>
    <t>Italie.</t>
  </si>
  <si>
    <t>Allemagne.</t>
  </si>
  <si>
    <t>La Suisse n'est pas membre de l'Union européenne, même si elle entretient de nombreuses relations avec celle-ci.</t>
  </si>
  <si>
    <t>Retenez : Suisse = neutre</t>
  </si>
  <si>
    <t>Identifier les États membres de l'Union européenne.</t>
  </si>
  <si>
    <t>Union européenne; Suisse; États membres</t>
  </si>
  <si>
    <t>📚 Thématique 2 – Union européenne 📖 Glossaire - Union européenne</t>
  </si>
  <si>
    <t>CR-T2-047</t>
  </si>
  <si>
    <t>Quand célèbre-t-on la Journée de l'Europe ?</t>
  </si>
  <si>
    <t>Le 1er janvier.</t>
  </si>
  <si>
    <t>Le 9 mai.</t>
  </si>
  <si>
    <t>Le 8 mai.</t>
  </si>
  <si>
    <t>Le 14 juillet.</t>
  </si>
  <si>
    <t>La Journée de l'Europe est célébrée le 9 mai, en souvenir de la déclaration Schuman de 1950, qui est à l'origine de la construction européenne.</t>
  </si>
  <si>
    <t>Retenez : 9 mai = Construction de l'Europe</t>
  </si>
  <si>
    <t>Connaître les principales dates de l'Union européenne.</t>
  </si>
  <si>
    <t>9 mai; Europe; Déclaration Schuman</t>
  </si>
  <si>
    <t>📚 Thématique 2 – Union européenne 📖 Glossaire - Journée de l'Europe - Déclaration Schuman</t>
  </si>
  <si>
    <t>CR-T2-048</t>
  </si>
  <si>
    <t>À quelle fréquence les élections européennes sont-elles organisées ?</t>
  </si>
  <si>
    <t>Tous les cinq ans.</t>
  </si>
  <si>
    <t>Tous les ans.</t>
  </si>
  <si>
    <t>Tous les six ans.</t>
  </si>
  <si>
    <t>Tous les sept ans.</t>
  </si>
  <si>
    <t>Les citoyens des États membres de l'Union européenne élisent leurs députés européens tous les cinq ans.</t>
  </si>
  <si>
    <t>Retenez : Élections européennes = 5 ans comme en élections présidentielles en France</t>
  </si>
  <si>
    <t>Connaître le fonctionnement des élections européennes.</t>
  </si>
  <si>
    <t>Élections européennes; Parlement européen; Cinq ans</t>
  </si>
  <si>
    <t>📚 Thématique 2 – Union européenne 📖 Glossaire - Élections européennes</t>
  </si>
  <si>
    <t>CR-T2-049</t>
  </si>
  <si>
    <t>Quelle condition est nécessaire pour voter aux élections européennes ?</t>
  </si>
  <si>
    <t>Pour voter aux élections européennes en France, il faut remplir les conditions prévues par la loi, notamment être inscrit sur les listes électorales. Selon sa situation, il peut s'agir d'un citoyen français ou d'un citoyen de l'Union européenne résidant en France.</t>
  </si>
  <si>
    <t>Retenez : Pour voter, il faut être inscrit sur les listes électorales comme en France</t>
  </si>
  <si>
    <t>Connaître les conditions permettant de voter aux élections européennes.</t>
  </si>
  <si>
    <t>Élections européennes; Listes électorales; Union européenne</t>
  </si>
  <si>
    <t>📚 Thématique 2 – Union européenne 📖 Glossaire - Liste électorale européenne</t>
  </si>
  <si>
    <t>CR-T2-050</t>
  </si>
  <si>
    <t>Quel pays est un pays fondateur de l'Union européenne ?</t>
  </si>
  <si>
    <t>Pologne.</t>
  </si>
  <si>
    <t>France.</t>
  </si>
  <si>
    <t>Roumanie.</t>
  </si>
  <si>
    <t>Les six pays fondateurs de la construction européenne sont la France, l'Allemagne, l'Italie, la Belgique, les Pays-Bas et le Luxembourg. Ils ont lancé la coopération européenne après la Seconde Guerre mondiale.</t>
  </si>
  <si>
    <t>Retenez : France = pays fondateur</t>
  </si>
  <si>
    <t>Connaître les origines de l'Union européenne.</t>
  </si>
  <si>
    <t>Union européenne; Pays fondateurs; France; Europe</t>
  </si>
  <si>
    <t>📚 Thématique 2 – Union européenne 📖 Glossaire - Pays fondateurs de l'Union européenne</t>
  </si>
  <si>
    <t>CR-T3-001</t>
  </si>
  <si>
    <t>Droits et devoirs</t>
  </si>
  <si>
    <t>Droits, libertés et devoirs</t>
  </si>
  <si>
    <t>À quelle liberté la PMA fait-elle référence ?</t>
  </si>
  <si>
    <t>La liberté de disposer de son corps.</t>
  </si>
  <si>
    <t>La liberté de circuler.</t>
  </si>
  <si>
    <t>La liberté d'expression.</t>
  </si>
  <si>
    <t>La liberté de la presse.</t>
  </si>
  <si>
    <t>La procréation médicalement assistée (PMA) relève de la liberté individuelle. En France, elle est autorisée dans les conditions prévues par la loi.</t>
  </si>
  <si>
    <t>Retenez : PMA = libre de son corps</t>
  </si>
  <si>
    <t>Connaître les principales libertés individuelles.</t>
  </si>
  <si>
    <t>PMA; Liberté; Corps</t>
  </si>
  <si>
    <t>📚 Thématique 3 – Droits et libertés 📖 Glossaire - PMA</t>
  </si>
  <si>
    <t>QUESTIONS_THEMATIQUE_3.md</t>
  </si>
  <si>
    <t>CR-T3-002</t>
  </si>
  <si>
    <t>Au nom de quoi l'État justifie-t-il la restriction des droits ?</t>
  </si>
  <si>
    <t>De l'intérêt général.</t>
  </si>
  <si>
    <t>De la volonté du Gouvernement.</t>
  </si>
  <si>
    <t>De l'opinion de la majorité.</t>
  </si>
  <si>
    <t>Des convictions religieuses.</t>
  </si>
  <si>
    <t>Certaines libertés peuvent être limitées par la loi lorsque cela est nécessaire pour protéger l'intérêt général, par exemple la sécurité, la santé publique ou les droits d'autrui.</t>
  </si>
  <si>
    <t>Retenez : On peut réduire les droits pour protéger l'intérêt général (ex : confinement COVID).</t>
  </si>
  <si>
    <t>Comprendre les limites des libertés.</t>
  </si>
  <si>
    <t>Intérêt général; Libertés; Loi</t>
  </si>
  <si>
    <t>📚 Thématique 3 – Droits et libertés 📖 Glossaire - Intérêt général</t>
  </si>
  <si>
    <t>CR-T3-003</t>
  </si>
  <si>
    <t>Vie familiale</t>
  </si>
  <si>
    <t>Concernant le droit de se marier, quelle proposition est correcte ?</t>
  </si>
  <si>
    <t>Les parents choisissent le conjoint.</t>
  </si>
  <si>
    <t>Chacun est libre de choisir son conjoint.</t>
  </si>
  <si>
    <t>Le mariage est réservé aux personnes de la même religion.</t>
  </si>
  <si>
    <t>Le mariage est imposé par l'État.</t>
  </si>
  <si>
    <t>En France, le mariage repose sur le libre consentement des deux époux. Chacun est libre de choisir son conjoint.</t>
  </si>
  <si>
    <t>Retenez : Mariage = liberté de choix</t>
  </si>
  <si>
    <t>Connaître les droits liés au mariage.</t>
  </si>
  <si>
    <t>Mariage; Consentement; Liberté</t>
  </si>
  <si>
    <t>📚 Thématique 3 – Vie familiale 📖 Glossaire - Consentement</t>
  </si>
  <si>
    <t>CR-T3-004</t>
  </si>
  <si>
    <t>Est-il toujours possible de divorcer ?</t>
  </si>
  <si>
    <t>Cela dépend du contrat de mariage signé.</t>
  </si>
  <si>
    <t>Seulement avec l'accord de la famille.</t>
  </si>
  <si>
    <t>Seulement avec l'accord de l'Etat.</t>
  </si>
  <si>
    <t>En France, le divorce est autorisé par la loi. Les époux peuvent mettre fin à leur mariage selon les procédures prévues par le droit.</t>
  </si>
  <si>
    <t xml:space="preserve">Retenez : Divorce = toujours possible </t>
  </si>
  <si>
    <t>Connaître les droits liés à la vie familiale.</t>
  </si>
  <si>
    <t>Divorce; Mariage; Famille</t>
  </si>
  <si>
    <t>📚 Thématique 3 – Vie familiale 📖 Glossaire - Divorce</t>
  </si>
  <si>
    <t>CR-T3-005</t>
  </si>
  <si>
    <t>La peine de mort est :</t>
  </si>
  <si>
    <t>Autorisée dans certains cas.</t>
  </si>
  <si>
    <t>Décidée par le Président de la République.</t>
  </si>
  <si>
    <t>Interdite.</t>
  </si>
  <si>
    <t>Réservée aux crimes les plus graves.</t>
  </si>
  <si>
    <t>La peine de mort a été abolie en France en 1981. Depuis 2007, son interdiction est inscrite dans la Constitution.</t>
  </si>
  <si>
    <t>Retenez : Peine de mort interdite depuis 1981</t>
  </si>
  <si>
    <t>Connaître les droits fondamentaux.</t>
  </si>
  <si>
    <t>Peine de mort; Constitution; Droits fondamentaux</t>
  </si>
  <si>
    <t>📚 Thématique 3 – Droits fondamentaux 📖 Glossaire - Peine de mort</t>
  </si>
  <si>
    <t>CR-T3-006</t>
  </si>
  <si>
    <t>Laquelle de ces citations est inscrite dans la Déclaration des droits de l'homme et du citoyen de 1789 ?</t>
  </si>
  <si>
    <t>« Nul n'est censé ignorer la loi. ».</t>
  </si>
  <si>
    <t>« Liberté, Travail, Solidarité. ».</t>
  </si>
  <si>
    <t>« La République protège toutes les religions. ».</t>
  </si>
  <si>
    <t>« Les hommes naissent et demeurent libres et égaux en droits. ».</t>
  </si>
  <si>
    <t>L'article 1er de la Déclaration des droits de l'homme et du citoyen de 1789 affirme que tous les êtres humains naissent libres et égaux en droits. Ce texte fonde les libertés et les droits fondamentaux en France.</t>
  </si>
  <si>
    <t>Retenez : 1er article de la DDHC : Tous libres et égaux</t>
  </si>
  <si>
    <t>Connaître les textes fondateurs de la République.</t>
  </si>
  <si>
    <t>DDHC; 1789; Droits fondamentaux</t>
  </si>
  <si>
    <t>📚 Thématique 3 – Droits fondamentaux 📖 Glossaire - Déclaration des droits de l'homme et du citoyen</t>
  </si>
  <si>
    <t>CR-T3-007</t>
  </si>
  <si>
    <t>Le recours à l'avortement est-il autorisé ?</t>
  </si>
  <si>
    <t>Seulement avec l'accord du mari.</t>
  </si>
  <si>
    <t>Seulement avec l'accord du médecin.</t>
  </si>
  <si>
    <t>En France, une femme peut recourir à l'interruption volontaire de grossesse (IVG) dans les conditions prévues par la loi.</t>
  </si>
  <si>
    <t xml:space="preserve">Retenez : Avortement = autorisé </t>
  </si>
  <si>
    <t>Connaître les principaux droits individuels.</t>
  </si>
  <si>
    <t>IVG; Avortement; Droits</t>
  </si>
  <si>
    <t>📚 Thématique 3 – Droits fondamentaux 📖 Glossaire - IVG</t>
  </si>
  <si>
    <t>CR-T3-008</t>
  </si>
  <si>
    <t>Que contient la Constitution ?</t>
  </si>
  <si>
    <t>La liste des ministres.</t>
  </si>
  <si>
    <t>Les lois votées chaque année.</t>
  </si>
  <si>
    <t>Les règles d'organisation des pouvoirs publics et les principes fondamentaux de la République.</t>
  </si>
  <si>
    <t>Les règlements intérieurs des mairies.</t>
  </si>
  <si>
    <t>La Constitution est le texte juridique le plus important de la République française. Elle fixe les règles de fonctionnement des institutions et garantit les principes fondamentaux.</t>
  </si>
  <si>
    <t>Retenez : La Constitution donne les principes de la République et l'organisation des pouvoirs publics</t>
  </si>
  <si>
    <t>Comprendre le rôle de la Constitution.</t>
  </si>
  <si>
    <t>Constitution; Institutions; République</t>
  </si>
  <si>
    <t>📚 Thématique 3 – Constitution 📖 Glossaire - Constitution</t>
  </si>
  <si>
    <t>CR-T3-009</t>
  </si>
  <si>
    <t>Que garantit la liberté de la presse ?</t>
  </si>
  <si>
    <t>Publier n'importe quoi.</t>
  </si>
  <si>
    <t>Le droit d'informer et d'être informé.</t>
  </si>
  <si>
    <t>Diffamer librement.</t>
  </si>
  <si>
    <t>Insulter les personnes.</t>
  </si>
  <si>
    <t>La liberté de la presse permet aux journalistes d'informer le public. Elle s'exerce dans le respect de la loi.</t>
  </si>
  <si>
    <t>Retenez : Liberté de presse = droit d'informer ou d'être informer</t>
  </si>
  <si>
    <t>Presse; Information; Liberté</t>
  </si>
  <si>
    <t>📚 Thématique 3 – Libertés fondamentales 📖 Glossaire - Liberté de la presse</t>
  </si>
  <si>
    <t>CR-T3-010</t>
  </si>
  <si>
    <t>Que prévoit la Charte de l'environnement ?</t>
  </si>
  <si>
    <t>Seul l'État protège l'environnement.</t>
  </si>
  <si>
    <t>La protection de l'environnement est facultative.</t>
  </si>
  <si>
    <t>Chacun a le devoir de prendre part à la préservation et à l'amélioration de l'environnement.</t>
  </si>
  <si>
    <t>Les entreprises sont les seules responsables de l'environnement.</t>
  </si>
  <si>
    <t>La Charte de l'environnement, intégrée à la Constitution, rappelle que chacun a des droits mais aussi des devoirs pour protéger l'environnement.</t>
  </si>
  <si>
    <t>Retenez : Charte de l'environnement = tout le monde doit protéger l'environnement</t>
  </si>
  <si>
    <t>Connaître les droits et devoirs liés à l'environnement.</t>
  </si>
  <si>
    <t>Charte de l'environnement; Constitution; Environnement</t>
  </si>
  <si>
    <t>📚 Thématique 3 – Environnement 📖 Glossaire - Charte de l'environnement</t>
  </si>
  <si>
    <t>CR-T3-011</t>
  </si>
  <si>
    <t>Que signifie la dignité humaine ?</t>
  </si>
  <si>
    <t>Certaines personnes ont moins de droits.</t>
  </si>
  <si>
    <t>Que chaque personne doit être respectée et traitée avec respect.</t>
  </si>
  <si>
    <t>La dignité dépend de la nationalité.</t>
  </si>
  <si>
    <t>La dignité dépend de la religion.</t>
  </si>
  <si>
    <t>La dignité humaine est un principe fondamental de la République française. Chaque personne doit être traitée avec respect et bénéficie des mêmes droits fondamentaux.</t>
  </si>
  <si>
    <t>Retenez : Dignité = tout le monde doit être respecté</t>
  </si>
  <si>
    <t>Comprendre les droits fondamentaux.</t>
  </si>
  <si>
    <t>Dignité; Respect; Droits fondamentaux</t>
  </si>
  <si>
    <t>📚 Thématique 3 – Droits fondamentaux 📖 Glossaire - Dignité humaine</t>
  </si>
  <si>
    <t>CR-T3-012</t>
  </si>
  <si>
    <t>Que signifie le droit de manifester ?</t>
  </si>
  <si>
    <t>Faire ce que l'on veut.</t>
  </si>
  <si>
    <t>Détruire des biens.</t>
  </si>
  <si>
    <t>Le droit d'exprimer collectivement une opinion dans le respect de la loi.</t>
  </si>
  <si>
    <t>Être violent.</t>
  </si>
  <si>
    <t>Le droit de manifester est une liberté fondamentale. Il s'exerce dans le respect des lois, de la sécurité et des droits des autres.</t>
  </si>
  <si>
    <t>Retenez le mot-clé : Manifestation.</t>
  </si>
  <si>
    <t>Comprendre les libertés publiques.</t>
  </si>
  <si>
    <t>Manifestation; Liberté; Expression</t>
  </si>
  <si>
    <t>📚 Thématique 3 – Libertés publiques 📖 Glossaire - Droit de manifester</t>
  </si>
  <si>
    <t>CR-T3-013</t>
  </si>
  <si>
    <t>Que signifie PMA ?</t>
  </si>
  <si>
    <t>Protection médicale assistée.</t>
  </si>
  <si>
    <t>Programme médical avancé.</t>
  </si>
  <si>
    <t>Parcours médical administratif.</t>
  </si>
  <si>
    <t>Procréation médicalement assistée.</t>
  </si>
  <si>
    <t>La PMA signifie « Procréation médicalement assistée ». Elle regroupe les techniques médicales permettant d'aider à concevoir un enfant, dans les conditions prévues par la loi.</t>
  </si>
  <si>
    <t>Retenez : PMA = aider à concevoir un enfant</t>
  </si>
  <si>
    <t>Connaître les principaux droits liés à la santé.</t>
  </si>
  <si>
    <t>PMA; Santé; Famille</t>
  </si>
  <si>
    <t>📚 Thématique 3 – Santé 📖 Glossaire - PMA</t>
  </si>
  <si>
    <t>CR-T3-014</t>
  </si>
  <si>
    <t>Quel texte est le plus difficile à modifier ?</t>
  </si>
  <si>
    <t>Une loi.</t>
  </si>
  <si>
    <t>Un règlement intérieur.</t>
  </si>
  <si>
    <t>Un arrêté municipal.</t>
  </si>
  <si>
    <t>La Constitution.</t>
  </si>
  <si>
    <t>La Constitution est la norme juridique suprême en France. Sa modification nécessite une procédure particulière, plus exigeante que celle applicable aux lois ordinaires.</t>
  </si>
  <si>
    <t>Retenez : Constitution = texte difficile à changer</t>
  </si>
  <si>
    <t>Comprendre la hiérarchie des normes.</t>
  </si>
  <si>
    <t>Constitution; Révision; Loi</t>
  </si>
  <si>
    <t>CR-T3-015</t>
  </si>
  <si>
    <t>Quelle liberté permet à une personne de croire en la religion de son choix ?</t>
  </si>
  <si>
    <t>La liberté de circulation.</t>
  </si>
  <si>
    <t>La liberté de conscience garantit à chacun le droit de choisir ses convictions religieuses ou philosophiques, de les changer ou de ne pas avoir de religion.</t>
  </si>
  <si>
    <t>Retenez : Liberté de conscience = choix de sa religion</t>
  </si>
  <si>
    <t>Liberté de conscience; Religion; Laïcité</t>
  </si>
  <si>
    <t>📚 Thématique 3 – Libertés fondamentales 📖 Glossaire - Liberté de conscience</t>
  </si>
  <si>
    <t>CR-T3-016</t>
  </si>
  <si>
    <t>Droits sociaux et travail</t>
  </si>
  <si>
    <t>Qu'est-ce que le droit de grève ?</t>
  </si>
  <si>
    <t>Refuser définitivement de travailler.</t>
  </si>
  <si>
    <t>Quitter son emploi.</t>
  </si>
  <si>
    <t>Ne plus respecter son contrat de travail.</t>
  </si>
  <si>
    <t>Le droit de cesser collectivement le travail pour défendre des revendications professionnelles.</t>
  </si>
  <si>
    <t>Le droit de grève est une liberté reconnue par la Constitution. Il permet aux salariés de défendre leurs intérêts professionnels dans le respect de la loi.</t>
  </si>
  <si>
    <t>Retenez : Grève = droits de défendre des intérêts (ex : des licenciements économiques massifs)</t>
  </si>
  <si>
    <t>Connaître les libertés collectives.</t>
  </si>
  <si>
    <t>Grève; Travail; Droits sociaux</t>
  </si>
  <si>
    <t>📚 Thématique 3 – Libertés fondamentales 📖 Glossaire - Droit de grève</t>
  </si>
  <si>
    <t>CR-T3-017</t>
  </si>
  <si>
    <t>Qu'est-ce que la Constitution ?</t>
  </si>
  <si>
    <t>Une loi ordinaire.</t>
  </si>
  <si>
    <t>Un règlement.</t>
  </si>
  <si>
    <t>Un décret.</t>
  </si>
  <si>
    <t>Le texte fondamental qui organise les institutions de la République et fixe les règles de leur fonctionnement.</t>
  </si>
  <si>
    <t>La Constitution est la norme juridique la plus importante en France. Elle définit les principes de la République, les droits fondamentaux et l'organisation des pouvoirs publics.</t>
  </si>
  <si>
    <t>Retenez : La Constitution = texte fondamental qui permet le fonctionnement de la République</t>
  </si>
  <si>
    <t>CR-T3-018</t>
  </si>
  <si>
    <t>Qui peut demander à avorter ?</t>
  </si>
  <si>
    <t>Seulement les femmes mariées.</t>
  </si>
  <si>
    <t>Seulement les femmes avec l'accord du conjoint.</t>
  </si>
  <si>
    <t>Toute femme enceinte qui remplit les conditions prévues par la loi.</t>
  </si>
  <si>
    <t>Seulement les femmes avec l'accord de la famille.</t>
  </si>
  <si>
    <t>En France, une femme enceinte peut demander une interruption volontaire de grossesse (IVG) dans les conditions fixées par la loi. Cette décision lui appartient.</t>
  </si>
  <si>
    <t xml:space="preserve">Retenez : N'importe quelle femme enceinte peut demander à avorter. </t>
  </si>
  <si>
    <t>Connaître les principaux droits des personnes.</t>
  </si>
  <si>
    <t>IVG; Femme; Santé</t>
  </si>
  <si>
    <t>📚 Thématique 3 – Santé 📖 Glossaire - IVG</t>
  </si>
  <si>
    <t>CR-T3-019</t>
  </si>
  <si>
    <t>Une femme majeure de nationalité française a-t-elle le droit de voter aux élections ?</t>
  </si>
  <si>
    <t>Seulement si elle est mariée.</t>
  </si>
  <si>
    <t>Seulement si elle travaille.</t>
  </si>
  <si>
    <t>Depuis 1944, les femmes disposent du droit de vote en France. Elles peuvent participer aux élections dans les mêmes conditions que les hommes.</t>
  </si>
  <si>
    <t>Retenez : 1944 = vote des femmes</t>
  </si>
  <si>
    <t>Connaître les droits civiques.</t>
  </si>
  <si>
    <t>Vote; Femmes; Citoyenneté</t>
  </si>
  <si>
    <t>📚 Thématique 3 – Citoyenneté 📖 Glossaire - Droit de vote</t>
  </si>
  <si>
    <t>CR-T3-020</t>
  </si>
  <si>
    <t>Concernant l'utilisation des réseaux sociaux, quelle proposition est correcte ?</t>
  </si>
  <si>
    <t>On peut tout publier sans limite.</t>
  </si>
  <si>
    <t>Les réseaux sociaux sont soumis aux lois françaises.</t>
  </si>
  <si>
    <t>Les insultes sont autorisées sur Internet.</t>
  </si>
  <si>
    <t>Les propos discriminatoires sont permis s'ils sont publiés sur un compte privé.</t>
  </si>
  <si>
    <t>Les réseaux sociaux ne sont pas une zone de non-droit. Les propos injurieux, diffamatoires, discriminatoires ou incitant à la haine sont interdits et peuvent être sanctionnés.</t>
  </si>
  <si>
    <t>Retenez : Les réseaux sociaux doivent respecter les lois</t>
  </si>
  <si>
    <t>Connaître les responsabilités liées à la liberté d'expression.</t>
  </si>
  <si>
    <t>Réseaux sociaux; Internet; Liberté d'expression</t>
  </si>
  <si>
    <t>📚 Thématique 3 – Libertés et responsabilités 📖 Glossaire - Liberté d'expression - Diffamation</t>
  </si>
  <si>
    <t>CR-T3-021</t>
  </si>
  <si>
    <t>Jeter un mégot par terre est :</t>
  </si>
  <si>
    <t>Autorisé si personne ne regarde.</t>
  </si>
  <si>
    <t>Autorisé dans les grandes villes.</t>
  </si>
  <si>
    <t>Interdit et passible d'une sanction.</t>
  </si>
  <si>
    <t>Obligatoire si aucune poubelle n'est disponible.</t>
  </si>
  <si>
    <t>Jeter un mégot sur la voie publique est interdit. Ce geste pollue l'environnement et peut être sanctionné par une amende.</t>
  </si>
  <si>
    <t>Retenez : Mégot = pollution (doit être jeter dans une poubelle ou dans un cendrier)</t>
  </si>
  <si>
    <t>Connaître les règles de protection de l'environnement.</t>
  </si>
  <si>
    <t>Mégot; Déchets; Environnement</t>
  </si>
  <si>
    <t>📚 Thématique 3 – Environnement 📖 Glossaire - Déchets</t>
  </si>
  <si>
    <t>CR-T3-022</t>
  </si>
  <si>
    <t>L'État peut-il limiter les droits et libertés ?</t>
  </si>
  <si>
    <t>Oui, dans les conditions prévues par la loi et pour protéger l'intérêt général.</t>
  </si>
  <si>
    <t>Non, jamais.</t>
  </si>
  <si>
    <t>Oui, sans raison.</t>
  </si>
  <si>
    <t>Oui, selon la volonté du Gouvernement.</t>
  </si>
  <si>
    <t>Les libertés sont fondamentales, mais elles peuvent être limitées lorsque cela est nécessaire pour protéger l'ordre public, la sécurité, la santé ou les droits des autres.</t>
  </si>
  <si>
    <t>Retenez : On peut réduire les droits et libertés pour protéger l'intérêt général (ex : confinement COVID).</t>
  </si>
  <si>
    <t>Libertés; Intérêt général; Loi</t>
  </si>
  <si>
    <t>📚 Thématique 3 – Libertés fondamentales 📖 Glossaire - Intérêt général</t>
  </si>
  <si>
    <t>CR-T3-023</t>
  </si>
  <si>
    <t>Parmi ces actions, laquelle permet d'adopter une attitude respectueuse de l'environnement ?</t>
  </si>
  <si>
    <t>Jeter ses déchets dans la nature.</t>
  </si>
  <si>
    <t>Brûler ses déchets dans son jardin.</t>
  </si>
  <si>
    <t>Abandonner ses encombrants sur le trottoir.</t>
  </si>
  <si>
    <t>Trier ses déchets.</t>
  </si>
  <si>
    <t>Le tri des déchets permet de recycler de nombreux matériaux et de limiter les impacts sur l'environnement.</t>
  </si>
  <si>
    <t>Retenez : Tri = action pour l'environnement</t>
  </si>
  <si>
    <t>Adopter un comportement écoresponsable.</t>
  </si>
  <si>
    <t>Tri; Recyclage; Environnement</t>
  </si>
  <si>
    <t>📚 Thématique 3 – Environnement 📖 Glossaire - Recyclage</t>
  </si>
  <si>
    <t>CR-T3-024</t>
  </si>
  <si>
    <t>Quelle proposition constitue une obligation ?</t>
  </si>
  <si>
    <t>Choisir une religion.</t>
  </si>
  <si>
    <t>Adhérer à une association.</t>
  </si>
  <si>
    <t>Voter à toutes les élections.</t>
  </si>
  <si>
    <t>Respecter la loi.</t>
  </si>
  <si>
    <t>Toutes les personnes présentes en France doivent respecter les lois. En revanche, choisir une religion, adhérer à une association ou voter sont des libertés ou des droits, pas des obligations.</t>
  </si>
  <si>
    <t>Retenez : Respect de la loi = obligation</t>
  </si>
  <si>
    <t>Distinguer un droit d'une obligation.</t>
  </si>
  <si>
    <t>Loi; Obligation; Citoyenneté</t>
  </si>
  <si>
    <t>📚 Thématique 3 – Droits et devoirs 📖 Glossaire - Obligation</t>
  </si>
  <si>
    <t>CR-T3-025</t>
  </si>
  <si>
    <t>Pour quel motif peut-on limiter la liberté d'expression ?</t>
  </si>
  <si>
    <t>Parce qu'une opinion déplaît.</t>
  </si>
  <si>
    <t>Pour protéger les droits d'autrui, l'ordre public ou lutter contre les infractions prévues par la loi.</t>
  </si>
  <si>
    <t>Pour interdire toute critique.</t>
  </si>
  <si>
    <t>Sans justification.</t>
  </si>
  <si>
    <t>La liberté d'expression est un droit fondamental, mais elle ne permet pas d'insulter, de diffamer, de provoquer à la haine ou de commettre des infractions prévues par la loi.</t>
  </si>
  <si>
    <t>Retenez : On limite la liberté d'expression pour protéger</t>
  </si>
  <si>
    <t>Comprendre les limites de la liberté d'expression.</t>
  </si>
  <si>
    <t>Liberté d'expression; Ordre public; Droits d'autrui</t>
  </si>
  <si>
    <t>📚 Thématique 3 – Libertés fondamentales 📖 Glossaire - Liberté d'expression - Ordre public</t>
  </si>
  <si>
    <t>CR-T3-026</t>
  </si>
  <si>
    <t>Pourquoi doit-on trier ses déchets ?</t>
  </si>
  <si>
    <t>Pour gagner de l'argent.</t>
  </si>
  <si>
    <t>Pour désencombrer la poubelle ménagère.</t>
  </si>
  <si>
    <t>Pour éviter de payer des impôts.</t>
  </si>
  <si>
    <t>Pour protéger l'environnement et favoriser le recyclage.</t>
  </si>
  <si>
    <t>Le tri permet de recycler de nombreux matériaux, de limiter les déchets et de préserver les ressources naturelles.</t>
  </si>
  <si>
    <t>Retenez : Le tri = protection de l'environnement</t>
  </si>
  <si>
    <t>Adopter un comportement respectueux de l'environnement.</t>
  </si>
  <si>
    <t>CR-T3-027</t>
  </si>
  <si>
    <t>Que doit faire une victime de violences ?</t>
  </si>
  <si>
    <t>Alerter la police ou la gendarmerie et demander de l'aide.</t>
  </si>
  <si>
    <t>Ne rien dire pour éviter d'aggraver la situation.</t>
  </si>
  <si>
    <t>Se faire justice soi-même.</t>
  </si>
  <si>
    <t>Attendre sans rien faire.</t>
  </si>
  <si>
    <t>Une victime de violences ne doit pas rester seule. Elle peut contacter les forces de l'ordre, les services d'urgence ou des associations spécialisées.</t>
  </si>
  <si>
    <t>Retenez : Une victime de violences doit en parler en contactant la police ou la gendarmerie</t>
  </si>
  <si>
    <t>Connaître les démarches en cas de violences.</t>
  </si>
  <si>
    <t>Violences; Police; Plainte</t>
  </si>
  <si>
    <t>📚 Thématique 3 – Protection des personnes 📖 Glossaire - Dépôt de plainte</t>
  </si>
  <si>
    <t>CR-T3-028</t>
  </si>
  <si>
    <t>Que doit-on faire face aux ordres des policiers ou gendarmes ?</t>
  </si>
  <si>
    <t>Obéir aux injonctions légales des policiers ou des gendarmes.</t>
  </si>
  <si>
    <t>Les ignorer.</t>
  </si>
  <si>
    <t>Les contester par la force.</t>
  </si>
  <si>
    <t>Refuser systématiquement.</t>
  </si>
  <si>
    <t>Les policiers et les gendarmes exercent leurs missions dans le cadre de la loi. Leurs instructions doivent être respectées.</t>
  </si>
  <si>
    <t>Retenez : Nous devons respecter les instructions données par la police ou la gendarmerie</t>
  </si>
  <si>
    <t>Connaître les devoirs des citoyens.</t>
  </si>
  <si>
    <t>Police; Gendarmerie; Respect de la loi</t>
  </si>
  <si>
    <t>📚 Thématique 3 – Devoirs du citoyen 📖 Glossaire - Forces de l'ordre</t>
  </si>
  <si>
    <t>CR-T3-029</t>
  </si>
  <si>
    <t>Quel est le rôle de la police ?</t>
  </si>
  <si>
    <t>Rendre la justice.</t>
  </si>
  <si>
    <t>Protéger les personnes, faire respecter la loi et maintenir l'ordre public.</t>
  </si>
  <si>
    <t>Gouverner le pays.</t>
  </si>
  <si>
    <t>La police assure la sécurité des personnes et des biens, fait respecter la loi et contribue au maintien de l'ordre public.</t>
  </si>
  <si>
    <t>Retenez : Police = maintient de l'ordre et respect des lois</t>
  </si>
  <si>
    <t>Connaître les missions de la police.</t>
  </si>
  <si>
    <t>Police; Ordre public; Sécurité</t>
  </si>
  <si>
    <t>📚 Thématique 3 – Institutions 📖 Glossaire - Police nationale</t>
  </si>
  <si>
    <t>CR-T3-030</t>
  </si>
  <si>
    <t>Quel est un exemple d'assistance à personne en danger ?</t>
  </si>
  <si>
    <t>Partir sans rien faire.</t>
  </si>
  <si>
    <t>Porter secours ou appeler les services d'urgence.</t>
  </si>
  <si>
    <t>Filmer la scène puis appeler les secours.</t>
  </si>
  <si>
    <t>Attendre que quelqu'un intervienne.</t>
  </si>
  <si>
    <t>En France, porter assistance à une personne en danger est une obligation prévue par la loi, lorsque cela est possible sans risque pour soi-même ou pour les autres.</t>
  </si>
  <si>
    <t>Retenez : En France, porter assistance à une personne en danger est une obligation</t>
  </si>
  <si>
    <t>Connaître les devoirs de solidarité.</t>
  </si>
  <si>
    <t>Assistance; Secours; Urgence</t>
  </si>
  <si>
    <t>📚 Thématique 3 – Solidarité 📖 Glossaire - Assistance à personne en danger</t>
  </si>
  <si>
    <t>CR-T3-031</t>
  </si>
  <si>
    <t>Quel exemple illustre une limitation de liberté pour protéger l'intérêt général ?</t>
  </si>
  <si>
    <t>L'interdiction de conduire après avoir consommé de l'alcool.</t>
  </si>
  <si>
    <t>L'interdiction de voter.</t>
  </si>
  <si>
    <t>L'interdiction de choisir sa religion.</t>
  </si>
  <si>
    <t>L'interdiction de se marier.</t>
  </si>
  <si>
    <t>Certaines libertés peuvent être limitées pour protéger l'intérêt général. L'interdiction de conduire sous l'emprise de l'alcool protège la sécurité de tous.</t>
  </si>
  <si>
    <t xml:space="preserve">Retenez : Interdire une personne de conduire sous l'effet de l'alcool est une limitation de la liberté afin de protéger les autres. </t>
  </si>
  <si>
    <t>Comprendre les limites des libertés individuelles.</t>
  </si>
  <si>
    <t>Intérêt général; Sécurité routière; Libertés</t>
  </si>
  <si>
    <t>📚 Thématique 3 – Droits et devoirs 📖 Glossaire - Intérêt général</t>
  </si>
  <si>
    <t>CR-T3-032</t>
  </si>
  <si>
    <t>Quelle est l'attitude à avoir lorsque l'on est témoin de violences ?</t>
  </si>
  <si>
    <t xml:space="preserve">Prendre parti et aller sauver la victime. </t>
  </si>
  <si>
    <t>Filmer sans intervenir.</t>
  </si>
  <si>
    <t>Alerter les secours, la police ou la gendarmerie.</t>
  </si>
  <si>
    <t>Partir sans prévenir personne.</t>
  </si>
  <si>
    <t>Face à des violences, il est important d'agir en alertant les secours ou les forces de l'ordre, sans se mettre soi-même en danger.</t>
  </si>
  <si>
    <t>Retenez : Si vous êtes témoin de violences, appelez le 17 (police)</t>
  </si>
  <si>
    <t>Connaître les comportements à adopter face à une situation de danger.</t>
  </si>
  <si>
    <t>Violences; Police; Secours</t>
  </si>
  <si>
    <t>📚 Thématique 3 – Protection des personnes 📖 Glossaire - Témoin</t>
  </si>
  <si>
    <t>CR-T3-033</t>
  </si>
  <si>
    <t>Quelle est l'infraction la plus grave ?</t>
  </si>
  <si>
    <t>Un crime.</t>
  </si>
  <si>
    <t>Une contravention.</t>
  </si>
  <si>
    <t>Un délit.</t>
  </si>
  <si>
    <t xml:space="preserve">Des violences conjugales. </t>
  </si>
  <si>
    <t>En droit français, les infractions sont classées en trois catégories : la contravention, le délit et le crime. Le crime est l'infraction la plus grave.</t>
  </si>
  <si>
    <t>Retenez : Crime = Le + grave</t>
  </si>
  <si>
    <t>Connaître la classification des infractions.</t>
  </si>
  <si>
    <t>Crime; Délit; Contravention</t>
  </si>
  <si>
    <t>📚 Thématique 3 – Justice 📖 Glossaire - Crime - Délit - Contravention</t>
  </si>
  <si>
    <t>CR-T3-034</t>
  </si>
  <si>
    <t>Quelle obligation concerne toutes les personnes résidant en France, quelle que soit leur nationalité ?</t>
  </si>
  <si>
    <t>Voter.</t>
  </si>
  <si>
    <t>Être citoyen français.</t>
  </si>
  <si>
    <t>Effectuer un service militaire.</t>
  </si>
  <si>
    <t>Toutes les personnes vivant en France, quelle que soit leur nationalité, doivent respecter les lois françaises.</t>
  </si>
  <si>
    <t>Retenez : La loi = respect par tous les résidents français</t>
  </si>
  <si>
    <t>Connaître les devoirs communs à tous les résidents.</t>
  </si>
  <si>
    <t>Loi; Obligation; Résidents</t>
  </si>
  <si>
    <t>📚 Thématique 3 – Droits et devoirs 📖 Glossaire - Respect de la loi</t>
  </si>
  <si>
    <t>CR-T3-035</t>
  </si>
  <si>
    <t>Quelle proposition représente un exemple de crime ?</t>
  </si>
  <si>
    <t>Un stationnement interdit.</t>
  </si>
  <si>
    <t>Un homicide volontaire.</t>
  </si>
  <si>
    <t>Un excès de vitesse.</t>
  </si>
  <si>
    <t>Une injure non publique.</t>
  </si>
  <si>
    <t>Le crime est l'infraction la plus grave. L'homicide volontaire est un exemple de crime. Les autres propositions correspondent à des infractions moins graves ou à des situations différentes.</t>
  </si>
  <si>
    <t>Retenez : Un meurtre est un crime (l'infraction la + grave)</t>
  </si>
  <si>
    <t>Identifier un crime.</t>
  </si>
  <si>
    <t>Crime; Homicide; Justice</t>
  </si>
  <si>
    <t>📚 Thématique 3 – Justice 📖 Glossaire - Crime</t>
  </si>
  <si>
    <t>CR-T3-036</t>
  </si>
  <si>
    <t>Quelle proposition représente un exemple de délit ?</t>
  </si>
  <si>
    <t>Jeter un papier dans la rue.</t>
  </si>
  <si>
    <t>Un vol.</t>
  </si>
  <si>
    <t>Le vol est un délit. En droit français, les infractions sont classées en trois catégories : contraventions, délits et crimes.</t>
  </si>
  <si>
    <t>Retenez : Crime&gt;Délit&gt;Contraventions (du plus grave au moins grave)</t>
  </si>
  <si>
    <t>Identifier un délit.</t>
  </si>
  <si>
    <t>Délit; Vol; Justice</t>
  </si>
  <si>
    <t>📚 Thématique 3 – Justice 📖 Glossaire - Délit - Vol</t>
  </si>
  <si>
    <t>CR-T3-037</t>
  </si>
  <si>
    <t>Qui veille au maintien de l'ordre public ?</t>
  </si>
  <si>
    <t>Les pompiers.</t>
  </si>
  <si>
    <t>La police et la gendarmerie.</t>
  </si>
  <si>
    <t>La police nationale et la gendarmerie nationale assurent la sécurité des personnes et des biens, font respecter la loi et participent au maintien de l'ordre public.</t>
  </si>
  <si>
    <t>Retenez : Police et gendarme veillent à l'ordre public</t>
  </si>
  <si>
    <t>Connaître les missions des forces de l'ordre.</t>
  </si>
  <si>
    <t>Police; Gendarmerie; Ordre public</t>
  </si>
  <si>
    <t>📚 Thématique 3 – Institutions 📖 Glossaire - Police nationale - Gendarmerie nationale</t>
  </si>
  <si>
    <t>CR-T3-038</t>
  </si>
  <si>
    <t>S'agissant des déchets, quelle proposition est correcte ?</t>
  </si>
  <si>
    <t>Les déchets doivent être triés et déposés dans les équipements prévus.</t>
  </si>
  <si>
    <t>Il est permis de jeter ses déchets dans la nature.</t>
  </si>
  <si>
    <t>Les encombrants peuvent être déposés sur le trottoir à tout moment.</t>
  </si>
  <si>
    <t>Les déchets peuvent être brûlés librement dans son jardin.</t>
  </si>
  <si>
    <t>Le tri des déchets est un geste citoyen qui protège l'environnement. Les déchets doivent être déposés dans les conteneurs ou les déchèteries prévus à cet effet.</t>
  </si>
  <si>
    <t>Adopter un comportement responsable vis-à-vis de l'environnement.</t>
  </si>
  <si>
    <t>Déchets; Tri; Recyclage; Environnement</t>
  </si>
  <si>
    <t>📚 Thématique 3 – Environnement 📖 Glossaire - Déchèterie - Recyclage</t>
  </si>
  <si>
    <t>CR-T4-001</t>
  </si>
  <si>
    <t>Histoire, géographie, patrimoine et culture</t>
  </si>
  <si>
    <t>Histoire de France</t>
  </si>
  <si>
    <t>Quel était le surnom de Louis XIV ?</t>
  </si>
  <si>
    <t>Le Roi-Soleil.</t>
  </si>
  <si>
    <t>Le Roi-Chevalier.</t>
  </si>
  <si>
    <t>Le Roi-Soulier.</t>
  </si>
  <si>
    <t>Le Roi-Majestueux.</t>
  </si>
  <si>
    <t>Louis XIV (1638-1715) est surnommé le Roi-Soleil. Son règne est l'un des plus longs de l'histoire de France et il a renforcé le pouvoir de la monarchie.</t>
  </si>
  <si>
    <t>Retenez : Louis XIV = Roi-Soleil</t>
  </si>
  <si>
    <t>Connaître les grandes figures de l'histoire de France.</t>
  </si>
  <si>
    <t>Louis XIV; Roi-Soleil; Monarchie</t>
  </si>
  <si>
    <t>📚 Thématique 4 – Histoire de France 📖 Glossaire - Louis XIV</t>
  </si>
  <si>
    <t>QUESTIONS_THEMATIQUE_4.md</t>
  </si>
  <si>
    <t>CR-T4-002</t>
  </si>
  <si>
    <t>Quel roi de France a été exécuté pendant la Révolution française ?</t>
  </si>
  <si>
    <t>Louis XIV.</t>
  </si>
  <si>
    <t>Henri IV.</t>
  </si>
  <si>
    <t>Louis XVI.</t>
  </si>
  <si>
    <t>François Ier.</t>
  </si>
  <si>
    <t>Louis XVI a été condamné à mort et exécuté en 1793 pendant la Révolution française, après l'abolition de la monarchie.</t>
  </si>
  <si>
    <t>Retenez : Louis XVI = exécution</t>
  </si>
  <si>
    <t>Connaître les grandes dates de la Révolution française.</t>
  </si>
  <si>
    <t>Louis XVI; Révolution française; 1793</t>
  </si>
  <si>
    <t>📚 Thématique 4 – Révolution française 📖 Glossaire - Louis XVI</t>
  </si>
  <si>
    <t>CR-T4-003</t>
  </si>
  <si>
    <t>En quelle année Napoléon Ier est-il devenu empereur ?</t>
  </si>
  <si>
    <t>1799.</t>
  </si>
  <si>
    <t>1804.</t>
  </si>
  <si>
    <t>1815.</t>
  </si>
  <si>
    <t>Napoléon Bonaparte est devenu empereur des Français en 1804 sous le nom de Napoléon Ier.</t>
  </si>
  <si>
    <t>Retenez : 1804 = Napoléon empereur</t>
  </si>
  <si>
    <t>Connaître les grandes dates de l'histoire de France.</t>
  </si>
  <si>
    <t>Napoléon Ier; 1804; Empire</t>
  </si>
  <si>
    <t>📚 Thématique 4 – Histoire de France 📖 Glossaire - Napoléon Ier</t>
  </si>
  <si>
    <t>CR-T4-004</t>
  </si>
  <si>
    <t>Lequel de ces personnages a un lien avec la République française ?</t>
  </si>
  <si>
    <t>Charlemagne.</t>
  </si>
  <si>
    <t>Jules Ferry.</t>
  </si>
  <si>
    <t>Jules Ferry est connu pour les lois qui ont rendu l'école gratuite, laïque et obligatoire. Son action est étroitement liée aux valeurs de la République.</t>
  </si>
  <si>
    <t>Retenez : Jules Ferry a rendu l'école obligatoire</t>
  </si>
  <si>
    <t>Identifier les grandes figures de la République française.</t>
  </si>
  <si>
    <t>Jules Ferry; École; République</t>
  </si>
  <si>
    <t>📚 Thématique 4 – Histoire de France 📖 Glossaire - Jules Ferry</t>
  </si>
  <si>
    <t>CR-T4-005</t>
  </si>
  <si>
    <t>De quand date l'appel à la résistance du général de Gaulle ?</t>
  </si>
  <si>
    <t>18 juin 1940.</t>
  </si>
  <si>
    <t>18 juin 1944.</t>
  </si>
  <si>
    <t>18 juin 1939.</t>
  </si>
  <si>
    <t>18 juin1945.</t>
  </si>
  <si>
    <t>Le 18 juin 1940, le général de Gaulle lance depuis Londres un appel à poursuivre le combat contre l'Allemagne nazie. Cet appel est devenu un symbole de la Résistance française.</t>
  </si>
  <si>
    <t>Retenez : 18 juin 1940 (presque 1 an après le début de la guerre) le général de Gaulle appelle les français à résister</t>
  </si>
  <si>
    <t>Connaître les grandes dates de la Seconde Guerre mondiale.</t>
  </si>
  <si>
    <t>18 juin 1940; De Gaulle; Résistance</t>
  </si>
  <si>
    <t>📚 Thématique 4 – Seconde Guerre mondiale 📖 Glossaire - Appel du 18 juin - Charles de Gaulle</t>
  </si>
  <si>
    <t>CR-T4-006</t>
  </si>
  <si>
    <t>Pourquoi la Shoah est-elle étudiée à l'école ?</t>
  </si>
  <si>
    <t>Pour apprendre la religion.</t>
  </si>
  <si>
    <t>Pour étudier uniquement la Seconde Guerre mondiale.</t>
  </si>
  <si>
    <t>Pour apprendre l'histoire de l'Allemagne uniquement.</t>
  </si>
  <si>
    <t>Pour transmettre la mémoire de ce génocide et prévenir le racisme, l'antisémitisme et les crimes contre l'humanité.</t>
  </si>
  <si>
    <t>La Shoah est le génocide des Juifs d'Europe pendant la Seconde Guerre mondiale. Son enseignement permet de transmettre cette mémoire et de sensibiliser aux valeurs de la République, au respect de la dignité humaine et à la lutte contre toutes les discriminations.</t>
  </si>
  <si>
    <t>Retenez : La Shoah = génocide juif. Il est enseigné pour transmettre l'histoire et la mémoire de cet évènement</t>
  </si>
  <si>
    <t>Comprendre les enjeux de la mémoire historique.</t>
  </si>
  <si>
    <t>Shoah; Mémoire; Racisme; Antisémitisme</t>
  </si>
  <si>
    <t>📚 Thématique 4 – Seconde Guerre mondiale 📖 Glossaire - Shoah - Génocide</t>
  </si>
  <si>
    <t>CR-T4-007</t>
  </si>
  <si>
    <t>Quel pays a été colonisé par la France ?</t>
  </si>
  <si>
    <t>L'Algérie.</t>
  </si>
  <si>
    <t>Le Japon.</t>
  </si>
  <si>
    <t>Le Canada.</t>
  </si>
  <si>
    <t>Le Portugal.</t>
  </si>
  <si>
    <t>Au cours de son histoire, la France a constitué un empire colonial sur plusieurs continents. L'Algérie, le Sénégal, Madagascar ou encore le Vietnam en ont fait partie.</t>
  </si>
  <si>
    <t>Retenez : L'Algérie a été colonisée par la France</t>
  </si>
  <si>
    <t>Connaître l'histoire coloniale de la France.</t>
  </si>
  <si>
    <t>Colonisation; Empire colonial; Algérie</t>
  </si>
  <si>
    <t>📚 Thématique 4 – Histoire contemporaine 📖 Glossaire - Colonisation</t>
  </si>
  <si>
    <t>CR-T4-008</t>
  </si>
  <si>
    <t>Depuis quand les Français élisent-ils le président de la République au suffrage universel direct ?</t>
  </si>
  <si>
    <t>1962.</t>
  </si>
  <si>
    <t>1945.</t>
  </si>
  <si>
    <t>1981.</t>
  </si>
  <si>
    <t>Depuis le référendum de 1962, le président de la République est élu au suffrage universel direct par les citoyens.</t>
  </si>
  <si>
    <t>Retenez : 1962 = élection suffrage universel direct (sans intermédiaire)</t>
  </si>
  <si>
    <t>Connaître les institutions de la Ve République.</t>
  </si>
  <si>
    <t>1962; Suffrage universel; Président</t>
  </si>
  <si>
    <t>📚 Thématique 2 – Institutions 📖 Glossaire - Suffrage universel direct</t>
  </si>
  <si>
    <t>CR-T4-009</t>
  </si>
  <si>
    <t>Quelle est la première étape de la construction européenne en 1951 ?</t>
  </si>
  <si>
    <t>L'Union européenne.</t>
  </si>
  <si>
    <t>La création de la Communauté économique européenne (CEE).</t>
  </si>
  <si>
    <t>La création de la Communauté européenne du charbon et de l'acier (CECA).</t>
  </si>
  <si>
    <t>La CECA rassemble six pays européens afin de développer une coopération économique et de favoriser la paix après la Seconde Guerre mondiale.</t>
  </si>
  <si>
    <t>Retenez : CECA = 1 er rassemblement européen</t>
  </si>
  <si>
    <t>Connaître les débuts de la construction européenne.</t>
  </si>
  <si>
    <t>CECA; 1951; Europe</t>
  </si>
  <si>
    <t>📚 Thématique 4 – Construction européenne 📖 Glossaire - CECA</t>
  </si>
  <si>
    <t>CR-T4-010</t>
  </si>
  <si>
    <t>Durant le mandat de quel président la peine de mort a-t-elle été abolie ?</t>
  </si>
  <si>
    <t>Charles de Gaulle.</t>
  </si>
  <si>
    <t>Jacques Chirac.</t>
  </si>
  <si>
    <t>François Mitterrand.</t>
  </si>
  <si>
    <t>Valéry Giscard d'Estaing.</t>
  </si>
  <si>
    <t>La peine de mort a été abolie en France en 1981, sous la présidence de François Mitterrand. La loi a été portée par le garde des Sceaux Robert Badinter.</t>
  </si>
  <si>
    <t>Retenez : François Mitterrand = plus de peine de mort</t>
  </si>
  <si>
    <t>Connaître les grandes réformes de la Ve République.</t>
  </si>
  <si>
    <t>François Mitterrand; Robert Badinter; 1981; Peine de mort</t>
  </si>
  <si>
    <t>📚 Thématique 4 – Ve République 📖 Glossaire - François Mitterrand - Robert Badinter ---</t>
  </si>
  <si>
    <t>CR-T4-011</t>
  </si>
  <si>
    <t>Quel régime politique a été mis en place pendant la Révolution française en 1792 ?</t>
  </si>
  <si>
    <t>La Ve République.</t>
  </si>
  <si>
    <t>L'Empire.</t>
  </si>
  <si>
    <t>La monarchie.</t>
  </si>
  <si>
    <t>La Première République.</t>
  </si>
  <si>
    <t>Le 21 septembre 1792, la monarchie est abolie et la Première République est proclamée.</t>
  </si>
  <si>
    <t>Retenez : 1792 = 1ère République</t>
  </si>
  <si>
    <t>Connaître les grandes étapes de l'histoire de France.</t>
  </si>
  <si>
    <t>1792; Première République; Révolution française</t>
  </si>
  <si>
    <t>📚 Thématique 4 – Révolution française 📖 Glossaire - Première République</t>
  </si>
  <si>
    <t>CR-T4-012</t>
  </si>
  <si>
    <t>Qui était une figure de la Résistance française pendant la Seconde Guerre mondiale ?</t>
  </si>
  <si>
    <t>Napoléon Bonaparte.</t>
  </si>
  <si>
    <t>Napoléon III.</t>
  </si>
  <si>
    <t>Jean Moulin.</t>
  </si>
  <si>
    <t>Jean Moulin est l'une des principales figures de la Résistance française. Il a contribué à unifier les mouvements de résistance à la demande du général de Gaulle.</t>
  </si>
  <si>
    <t>Retenez : Jean Moulin = résistant emblématique</t>
  </si>
  <si>
    <t>Connaître les grandes figures de la Seconde Guerre mondiale.</t>
  </si>
  <si>
    <t>Jean Moulin; Résistance; Seconde Guerre mondiale</t>
  </si>
  <si>
    <t>📚 Thématique 4 – Seconde Guerre mondiale 📖 Glossaire - Jean Moulin</t>
  </si>
  <si>
    <t>CR-T4-013</t>
  </si>
  <si>
    <t>En 1944, qu'est-ce qui a changé pour les femmes ?</t>
  </si>
  <si>
    <t>Elles ont obtenu le droit au travail.</t>
  </si>
  <si>
    <t>Elles ont obtenu le droit au divorce.</t>
  </si>
  <si>
    <t>Elles ont obtenu le droit de vote et d'éligibilité.</t>
  </si>
  <si>
    <t>Elles ont obtenues le droit de devenir présidente de la République.</t>
  </si>
  <si>
    <t>L'ordonnance du 21 avril 1944 accorde aux femmes le droit de vote et d'éligibilité. Elles votent pour la première fois en 1945.</t>
  </si>
  <si>
    <t>Retenez : 1944 = droit de vote des femmes</t>
  </si>
  <si>
    <t>Connaître les grandes avancées démocratiques.</t>
  </si>
  <si>
    <t>1944; Femmes; Droit de vote; Éligibilité</t>
  </si>
  <si>
    <t>📚 Thématique 4 – Histoire contemporaine 📖 Glossaire - Suffrage féminin</t>
  </si>
  <si>
    <t>CR-T4-014</t>
  </si>
  <si>
    <t>Quelle organisation internationale a été créée en 1945 après la Seconde Guerre mondiale ?</t>
  </si>
  <si>
    <t>L'Organisation des Nations unies (ONU).</t>
  </si>
  <si>
    <t>L'OTAN.</t>
  </si>
  <si>
    <t>L'UNESCO.</t>
  </si>
  <si>
    <t>L'ONU a été créée après la Seconde Guerre mondiale afin de maintenir la paix, promouvoir les droits humains et encourager la coopération internationale.</t>
  </si>
  <si>
    <t>Retenez : ONU = maitien de la paix</t>
  </si>
  <si>
    <t>Connaître les principales organisations internationales.</t>
  </si>
  <si>
    <t>ONU; 1945; Paix</t>
  </si>
  <si>
    <t>📚 Thématique 4 – Monde contemporain 📖 Glossaire - ONU</t>
  </si>
  <si>
    <t>CR-T4-015</t>
  </si>
  <si>
    <t>Quelle peine a été supprimée en 1981 ?</t>
  </si>
  <si>
    <t>La prison à perpétuité.</t>
  </si>
  <si>
    <t>L'amende.</t>
  </si>
  <si>
    <t>Les travaux d'intérêt général.</t>
  </si>
  <si>
    <t>La peine de mort.</t>
  </si>
  <si>
    <t>La peine de mort a été abolie en France en 1981 grâce à la loi portée par Robert Badinter, sous la présidence de François Mitterrand.</t>
  </si>
  <si>
    <t>Retenez : 1981 = abandon de la peine de mort</t>
  </si>
  <si>
    <t>1981; Peine de mort; Robert Badinter; François Mitterrand</t>
  </si>
  <si>
    <t>📚 Thématique 4 – Ve République 📖 Glossaire - Abolition de la peine de mort - Robert Badinter ---</t>
  </si>
  <si>
    <t>CR-T4-016</t>
  </si>
  <si>
    <t>En quelle année l'euro est-elle devenue la monnaie utilisée en France ?</t>
  </si>
  <si>
    <t>L'euro est devenu la monnaie utilisée en France le 1er janvier 2002, avec la mise en circulation des pièces et des billets.</t>
  </si>
  <si>
    <r>
      <t xml:space="preserve">Retenez : 2002 = Monnaie </t>
    </r>
    <r>
      <rPr>
        <b/>
        <sz val="12"/>
        <color rgb="FFFFC000"/>
        <rFont val="Carlito"/>
      </rPr>
      <t>(€)</t>
    </r>
  </si>
  <si>
    <t>Euro; 2002; Monnaie</t>
  </si>
  <si>
    <t>📚 Thématique 4 – Construction européenne 📖 Glossaire - Euro</t>
  </si>
  <si>
    <t>CR-T4-017</t>
  </si>
  <si>
    <t>En quelle année a commencé la Première Guerre mondiale ?</t>
  </si>
  <si>
    <t>1918.</t>
  </si>
  <si>
    <t>1939.</t>
  </si>
  <si>
    <t>1914.</t>
  </si>
  <si>
    <t>La Première Guerre mondiale débute en 1914 et se termine en 1918.</t>
  </si>
  <si>
    <t xml:space="preserve">Retenez : 1914 = début 1ère guerre mondiale </t>
  </si>
  <si>
    <t>Connaître les grandes dates de l'histoire contemporaine.</t>
  </si>
  <si>
    <t>1914; Première Guerre mondiale</t>
  </si>
  <si>
    <t>📚 Thématique 4 – Guerres mondiales 📖 Glossaire - Première Guerre mondiale</t>
  </si>
  <si>
    <t>CR-T4-018</t>
  </si>
  <si>
    <t>Où a eu lieu le débarquement en 1944 ?</t>
  </si>
  <si>
    <t>En Bretagne.</t>
  </si>
  <si>
    <t>En Normandie.</t>
  </si>
  <si>
    <t>À Paris.</t>
  </si>
  <si>
    <t>En Aquitaine.</t>
  </si>
  <si>
    <t>Le 6 juin 1944, les forces alliées débarquent en Normandie. Cet événement marque le début de la libération de la France occupée.</t>
  </si>
  <si>
    <t>Retenez : Normandie = débarquement des alliés</t>
  </si>
  <si>
    <t>Connaître les grandes étapes de la Seconde Guerre mondiale.</t>
  </si>
  <si>
    <t>Normandie; Débarquement; 6 juin 1944</t>
  </si>
  <si>
    <t>📚 Thématique 4 – Seconde Guerre mondiale 📖 Glossaire - Débarquement de Normandie</t>
  </si>
  <si>
    <t>CR-T4-019</t>
  </si>
  <si>
    <t>Quel continent a été le plus concerné par la décolonisation française après la Seconde Guerre mondiale ?</t>
  </si>
  <si>
    <t>L'Europe.</t>
  </si>
  <si>
    <t>L'Amérique.</t>
  </si>
  <si>
    <t>L'Afrique.</t>
  </si>
  <si>
    <t>L'Océanie.</t>
  </si>
  <si>
    <t>Après la Seconde Guerre mondiale, de nombreux territoires français situés en Afrique accèdent progressivement à l'indépendance.</t>
  </si>
  <si>
    <t>Retenez :  Départ des colonies françaises en Afrique après la guerre</t>
  </si>
  <si>
    <t>Connaître les grandes étapes de la décolonisation.</t>
  </si>
  <si>
    <t>Décolonisation; Afrique; Indépendance</t>
  </si>
  <si>
    <t>📚 Thématique 4 – Histoire contemporaine 📖 Glossaire - Décolonisation</t>
  </si>
  <si>
    <t>CR-T4-020</t>
  </si>
  <si>
    <t>Que fête-t-on le 8 mai ?</t>
  </si>
  <si>
    <t>L'Armistice de 1918.</t>
  </si>
  <si>
    <t>La Révolution française.</t>
  </si>
  <si>
    <t>La fin de la seconde guerre mondiale.</t>
  </si>
  <si>
    <t>Le Débarquement des alliés en Normandie.</t>
  </si>
  <si>
    <t>Le 8 mai est un jour férié en France. Il commémore la victoire des Alliés sur l'Allemagne nazie en 1945 et rend hommage aux combattants et aux victimes de la Seconde Guerre mondiale.</t>
  </si>
  <si>
    <t>Retenez : 8 mai 1945 = victoire de la France contre l'Allemagne</t>
  </si>
  <si>
    <t>Connaître les principales commémorations nationales.</t>
  </si>
  <si>
    <t>8 mai; 1945; Victoire; Seconde Guerre mondiale</t>
  </si>
  <si>
    <t>📚 Thématique 4 – Commémorations nationales 📖 Glossaire - 8 mai 1945 ---</t>
  </si>
  <si>
    <t>CR-T4-021</t>
  </si>
  <si>
    <t>Citez une mer ou un océan qui borde la France métropolitaine.</t>
  </si>
  <si>
    <t>La mer Méditerranée.</t>
  </si>
  <si>
    <t>L'océan indien.</t>
  </si>
  <si>
    <t>La mer Rouge.</t>
  </si>
  <si>
    <t>L'océan Pacifique.</t>
  </si>
  <si>
    <t>La France métropolitaine est bordée par quatre espaces maritimes : la Manche, la mer du Nord, l'océan Atlantique et la mer Méditerranée.</t>
  </si>
  <si>
    <t>Retenez : 3 mers et 1 océan entourent la France
- Mers : Méditerranée, Du Nord et la Manche
- Océan :  Atlantique</t>
  </si>
  <si>
    <t>Connaître la géographie de la France.</t>
  </si>
  <si>
    <t>France; Mer; Océan; Littoral</t>
  </si>
  <si>
    <t>📚 Thématique 4 – Géographie 📖 Glossaire - Manche - Mer Méditerranée - Océan Atlantique</t>
  </si>
  <si>
    <t>CR-T4-022</t>
  </si>
  <si>
    <t>Géographie de la France</t>
  </si>
  <si>
    <t>Quel pays a une frontière terrestre avec la France métropolitaine ?</t>
  </si>
  <si>
    <t>Royaume-Uni.</t>
  </si>
  <si>
    <t>Portugal.</t>
  </si>
  <si>
    <t>Autriche.</t>
  </si>
  <si>
    <t>La France métropolitaine partage une frontière terrestre avec huit pays.</t>
  </si>
  <si>
    <t>Connaître les frontières de la France.</t>
  </si>
  <si>
    <t>Frontières; Pays voisins; France</t>
  </si>
  <si>
    <t>📚 Thématique 4 – Géographie 📖 Glossaire - Pays frontaliers</t>
  </si>
  <si>
    <t>CR-T4-023</t>
  </si>
  <si>
    <t>Quelle ville française est un port maritime ?</t>
  </si>
  <si>
    <t>Clermont-Ferrand.</t>
  </si>
  <si>
    <t>Limoges.</t>
  </si>
  <si>
    <t>Marseille.</t>
  </si>
  <si>
    <t>Dijon.</t>
  </si>
  <si>
    <t>Marseille est le plus grand port maritime français et l'un des plus importants ports de la mer Méditerranée.</t>
  </si>
  <si>
    <t>Retenez : Marseille = 1er port français</t>
  </si>
  <si>
    <t>Connaître la géographie économique de la France.</t>
  </si>
  <si>
    <t>Marseille; Port; Méditerranée</t>
  </si>
  <si>
    <t>📚 Thématique 4 – Géographie 📖 Glossaire - Port maritime</t>
  </si>
  <si>
    <t>CR-T4-024</t>
  </si>
  <si>
    <t>Quelle mer se situe entre la France et l'Angleterre ?</t>
  </si>
  <si>
    <t>La mer du Nord.</t>
  </si>
  <si>
    <t>L'océan Atlantique.</t>
  </si>
  <si>
    <t>La Manche.</t>
  </si>
  <si>
    <t>La Manche sépare la France de l'Angleterre. Elle est traversée notamment par le tunnel sous la Manche.</t>
  </si>
  <si>
    <t>Retenez le mot-clé : La Manche.</t>
  </si>
  <si>
    <t>Manche; Angleterre; France</t>
  </si>
  <si>
    <t>📚 Thématique 4 – Géographie 📖 Glossaire - Manche</t>
  </si>
  <si>
    <t>CR-T4-025</t>
  </si>
  <si>
    <t>Qu'est-ce que la France d'outre-mer ?</t>
  </si>
  <si>
    <t>Les pays voisins de la France.</t>
  </si>
  <si>
    <t>Les territoires français situés en dehors de l'Europe.</t>
  </si>
  <si>
    <t>Les anciennes colonies françaises.</t>
  </si>
  <si>
    <t>Les régions situées au nord de la France.</t>
  </si>
  <si>
    <t>La France d'outre-mer regroupe les départements, régions, collectivités et territoires français situés en dehors de l'Europe, comme la Guadeloupe, La Réunion ou la Polynésie française.</t>
  </si>
  <si>
    <t>Retenez : La France d'outre-mer = territoires français hors Europe</t>
  </si>
  <si>
    <t>Outre-mer; DROM; COM; Territoires</t>
  </si>
  <si>
    <t>📚 Thématique 4 – Géographie 📖 Glossaire - Outre-mer - DROM - COM</t>
  </si>
  <si>
    <t>CR-T4-026</t>
  </si>
  <si>
    <t>Quelle chaîne de montagnes est située entre la France et l'Espagne ?</t>
  </si>
  <si>
    <t>Les Pyrénées.</t>
  </si>
  <si>
    <t>Les Alpes.</t>
  </si>
  <si>
    <t>Le Massif central.</t>
  </si>
  <si>
    <t>Les Vosges.</t>
  </si>
  <si>
    <t>Les Pyrénées forment une frontière naturelle entre la France et l'Espagne.</t>
  </si>
  <si>
    <t>Retenez : Pyrénées = montagnes entre France et Espagne</t>
  </si>
  <si>
    <t>Connaître les principaux reliefs de la France.</t>
  </si>
  <si>
    <t>Pyrénées; Montagnes; Espagne</t>
  </si>
  <si>
    <t>📚 Thématique 4 – Géographie 📖 Glossaire - Pyrénées</t>
  </si>
  <si>
    <t>CR-T4-027</t>
  </si>
  <si>
    <t>Quelle île française se trouve dans l'océan Indien ?</t>
  </si>
  <si>
    <t>La Réunion.</t>
  </si>
  <si>
    <t>La Corse.</t>
  </si>
  <si>
    <t>La Guadeloupe.</t>
  </si>
  <si>
    <t>La Martinique.</t>
  </si>
  <si>
    <t>La Réunion est un département et une région d'outre-mer situé dans l'océan Indien, à l'est de Madagascar.</t>
  </si>
  <si>
    <t>Retenez : La Réunion est entourée par l'océan Indien</t>
  </si>
  <si>
    <t>Connaître la géographie de la France d'outre-mer.</t>
  </si>
  <si>
    <t>La Réunion; Océan Indien; Outre-mer</t>
  </si>
  <si>
    <t>📚 Thématique 4 – Outre-mer 📖 Glossaire - La Réunion</t>
  </si>
  <si>
    <t>CR-T4-028</t>
  </si>
  <si>
    <t>Quelle est la population approximative de la France en 2025 ?</t>
  </si>
  <si>
    <t>50 millions.</t>
  </si>
  <si>
    <t>68 millions.</t>
  </si>
  <si>
    <t>60 millions.</t>
  </si>
  <si>
    <t>57 millions.</t>
  </si>
  <si>
    <t>En 2025, la France compte environ 68 millions d'habitants. Ce chiffre peut évoluer légèrement au fil des années.</t>
  </si>
  <si>
    <t>Retenez le mot-clé : Population France = 68 millions</t>
  </si>
  <si>
    <t>Connaître les grands repères démographiques.</t>
  </si>
  <si>
    <t>Population; France; 68 millions</t>
  </si>
  <si>
    <t>📚 Thématique 4 – Géographie 📖 Glossaire - Population française</t>
  </si>
  <si>
    <t>CR-T4-029</t>
  </si>
  <si>
    <t>Quel fleuve traverse Paris ?</t>
  </si>
  <si>
    <t>La Loire.</t>
  </si>
  <si>
    <t>Le Rhône.</t>
  </si>
  <si>
    <t>La Garonne.</t>
  </si>
  <si>
    <t>La Seine.</t>
  </si>
  <si>
    <t>La Seine traverse Paris avant de se jeter dans la Manche, au Havre.</t>
  </si>
  <si>
    <t>Retenez comme moyen mnémotechnique que Paris regorge de théâtres et donc de scènes (Seine)</t>
  </si>
  <si>
    <t>Connaître les principaux fleuves français.</t>
  </si>
  <si>
    <t>Seine; Paris; Fleuve</t>
  </si>
  <si>
    <t>📚 Thématique 4 – Géographie 📖 Glossaire - Seine</t>
  </si>
  <si>
    <t>CR-T4-030</t>
  </si>
  <si>
    <t>Lequel de ces pays partage des frontières terrestres avec la France ?</t>
  </si>
  <si>
    <t>L'Irlande.</t>
  </si>
  <si>
    <t>La Belgique.</t>
  </si>
  <si>
    <t>Le Danemark.</t>
  </si>
  <si>
    <t>La Belgique partage une frontière terrestre avec la France. Le Royaume-Uni est séparé de la France par la Manche.</t>
  </si>
  <si>
    <t>Retenez : Belgique = voisin terrestre</t>
  </si>
  <si>
    <t>Connaître les pays voisins de la France.</t>
  </si>
  <si>
    <t>Belgique; Frontière; France</t>
  </si>
  <si>
    <t>📚 Thématique 4 – Géographie 📖 Glossaire - Pays frontaliers ---</t>
  </si>
  <si>
    <t>CR-T4-036</t>
  </si>
  <si>
    <t>Quelle ville française fait partie des 10 plus grandes métropoles du pays ?</t>
  </si>
  <si>
    <t>Lyon.</t>
  </si>
  <si>
    <t>Vichy.</t>
  </si>
  <si>
    <t>Lourdes.</t>
  </si>
  <si>
    <t>Colmar.</t>
  </si>
  <si>
    <t>La France compte plusieurs grandes métropoles qui concentrent une grande partie de la population, des emplois et des activités économiques.</t>
  </si>
  <si>
    <t>Retenez : Lyon est la 2e ville la plus peuplée (plus d'un million d'habitants)</t>
  </si>
  <si>
    <t>Connaître les principales villes françaises.</t>
  </si>
  <si>
    <t>Métropole; Ville; France</t>
  </si>
  <si>
    <t>📚 Thématique 4 – Géographie 📖 Glossaire - Métropole</t>
  </si>
  <si>
    <t>CR-T4-037</t>
  </si>
  <si>
    <t>Patrimoine et culture</t>
  </si>
  <si>
    <t>Lequel de ces départements de France est le plus touristique ?</t>
  </si>
  <si>
    <t>Creuse.</t>
  </si>
  <si>
    <t>Lozère.</t>
  </si>
  <si>
    <t>Haute-Marne.</t>
  </si>
  <si>
    <t>Paris est le département français qui accueille le plus grand nombre de visiteurs grâce à son patrimoine, ses musées et ses monuments.</t>
  </si>
  <si>
    <t>Retenez le mot-clé : Paris.</t>
  </si>
  <si>
    <t>Connaître les grands repères touristiques de la France.</t>
  </si>
  <si>
    <t>Paris; Tourisme; Patrimoine</t>
  </si>
  <si>
    <t>📚 Thématique 4 – Tourisme 📖 Glossaire - Paris</t>
  </si>
  <si>
    <t>CR-T4-038</t>
  </si>
  <si>
    <t>Quand peut-on visiter gratuitement des lieux culturels en France ?</t>
  </si>
  <si>
    <t>Le 25 décembre.</t>
  </si>
  <si>
    <t>Lors des Journées européennes du patrimoine.</t>
  </si>
  <si>
    <t>Tous les dimanches.</t>
  </si>
  <si>
    <t>Chaque année, les Journées européennes du patrimoine permettent au public de visiter gratuitement de nombreux monuments et lieux habituellement fermés ou payants.</t>
  </si>
  <si>
    <t>Retenez: Journée du patrimoine = visite gratuite (musées, monuments…)</t>
  </si>
  <si>
    <t>Connaître les grands événements culturels.</t>
  </si>
  <si>
    <t>Patrimoine; Culture; Journées du patrimoine</t>
  </si>
  <si>
    <t>📚 Thématique 4 – Culture 📖 Glossaire - Journées européennes du patrimoine</t>
  </si>
  <si>
    <t>CR-T4-039</t>
  </si>
  <si>
    <t>Combien de personnes parlent français dans le monde ?</t>
  </si>
  <si>
    <t>120 millions.</t>
  </si>
  <si>
    <t>320 millions.</t>
  </si>
  <si>
    <t>700 millions.</t>
  </si>
  <si>
    <t>Le français est parlé sur les cinq continents par environ 320 millions de personnes. Ce chiffre évolue régulièrement.</t>
  </si>
  <si>
    <t>Retenez : 320 millions de personnes parlent français</t>
  </si>
  <si>
    <t>Connaître le rayonnement international de la langue française.</t>
  </si>
  <si>
    <t>Francophonie; Français; 320 millions</t>
  </si>
  <si>
    <t>📚 Thématique 4 – Culture 📖 Glossaire - Francophonie</t>
  </si>
  <si>
    <t>CR-T4-040</t>
  </si>
  <si>
    <t>Qui était Marguerite Yourcenar ?</t>
  </si>
  <si>
    <t>Une chanteuse.</t>
  </si>
  <si>
    <t>Une peintre.</t>
  </si>
  <si>
    <t>Une scientifique.</t>
  </si>
  <si>
    <t>Une écrivaine française.</t>
  </si>
  <si>
    <t>Marguerite Yourcenar est une grande écrivaine française. En 1980, elle devient la première femme élue à l'Académie française.</t>
  </si>
  <si>
    <t>Retenez : Marguerite Yourcenar = écrivaine</t>
  </si>
  <si>
    <t>Connaître les grandes figures de la culture française.</t>
  </si>
  <si>
    <t>Marguerite Yourcenar; Académie française; Littérature</t>
  </si>
  <si>
    <t>📚 Thématique 4 – Culture 📖 Glossaire - Marguerite Yourcenar ---</t>
  </si>
  <si>
    <t>CR-T4-041</t>
  </si>
  <si>
    <t>Quel peintre est français ?</t>
  </si>
  <si>
    <t>Pablo Picasso.</t>
  </si>
  <si>
    <t>Vincent Van Gogh.</t>
  </si>
  <si>
    <t>Auguste Renoir.</t>
  </si>
  <si>
    <t>Salvador Dalí.</t>
  </si>
  <si>
    <t>Auguste Renoir est un peintre français majeur du mouvement impressionniste. Il est connu pour ses portraits et ses scènes de la vie quotidienne.</t>
  </si>
  <si>
    <t>Retenez : Renoir = peintre</t>
  </si>
  <si>
    <t>Renoir; Peinture; Impressionnisme</t>
  </si>
  <si>
    <t>📚 Thématique 4 – Culture 📖 Glossaire - Auguste Renoir</t>
  </si>
  <si>
    <t>CR-T4-042</t>
  </si>
  <si>
    <t>Quel musée est situé à Paris ?</t>
  </si>
  <si>
    <t>Le musée Guggenheim.</t>
  </si>
  <si>
    <t>Le musée du Prado.</t>
  </si>
  <si>
    <t>Le musée du Louvre.</t>
  </si>
  <si>
    <t>Le British Museum.</t>
  </si>
  <si>
    <t>Le musée du Louvre est situé à Paris. C'est l'un des plus grands musées du monde et il abrite notamment la Joconde.</t>
  </si>
  <si>
    <t>Retenez : Musée Paris = Louvre.</t>
  </si>
  <si>
    <t>Connaître les grands lieux culturels français.</t>
  </si>
  <si>
    <t>Louvre; Paris; Musée</t>
  </si>
  <si>
    <t>📚 Thématique 4 – Culture 📖 Glossaire - Musée du Louvre</t>
  </si>
  <si>
    <t>CR-T4-043</t>
  </si>
  <si>
    <t>Qui était Auguste Rodin ?</t>
  </si>
  <si>
    <t>Un sculpteur français.</t>
  </si>
  <si>
    <t>Un écrivain.</t>
  </si>
  <si>
    <t>Un peintre.</t>
  </si>
  <si>
    <t>Un musicien.</t>
  </si>
  <si>
    <t>Auguste Rodin est l'un des plus grands sculpteurs français. Parmi ses œuvres les plus connues figure Le Penseur.</t>
  </si>
  <si>
    <t>Retenez : Rodin = sculpteur</t>
  </si>
  <si>
    <t>Rodin; Sculpture; Le Penseur</t>
  </si>
  <si>
    <t>📚 Thématique 4 – Culture 📖 Glossaire - Auguste Rodin</t>
  </si>
  <si>
    <t>CR-T4-044</t>
  </si>
  <si>
    <t>Quel est le classement de la langue française parmi les langues les plus parlées dans le monde ?</t>
  </si>
  <si>
    <t>Cinquième.</t>
  </si>
  <si>
    <t>Première.</t>
  </si>
  <si>
    <t>Deuxième.</t>
  </si>
  <si>
    <t>Dixième.</t>
  </si>
  <si>
    <t>Le français est aujourd'hui considéré comme la cinquième langue la plus parlée dans le monde. Ce classement peut évoluer au fil du temps.</t>
  </si>
  <si>
    <t>Retenez : Le français = 5e langue la + parlée</t>
  </si>
  <si>
    <t>Connaître le rayonnement international du français.</t>
  </si>
  <si>
    <t>Français; Langue; Francophonie</t>
  </si>
  <si>
    <t>CR-T4-045</t>
  </si>
  <si>
    <t>Quelle cathédrale célèbre a été en partie détruite par un incendie en 2019 ?</t>
  </si>
  <si>
    <t>La basilique du Sacré-Cœur.</t>
  </si>
  <si>
    <t>Notre-Dame de Paris.</t>
  </si>
  <si>
    <t>La cathédrale de Reims.</t>
  </si>
  <si>
    <t>La cathédrale de Strasbourg.</t>
  </si>
  <si>
    <t>La cathédrale Notre-Dame de Paris est l'un des monuments les plus emblématiques de la France. L'incendie de 2019 a détruit sa flèche et une partie de sa toiture. Après plusieurs années de restauration, elle a rouvert au public en décembre 2024.</t>
  </si>
  <si>
    <t>Retenez le mot-clé : Notre-Dame de Paris.</t>
  </si>
  <si>
    <t>Connaître les principaux monuments français.</t>
  </si>
  <si>
    <t>Notre-Dame de Paris; Cathédrale; Patrimoine</t>
  </si>
  <si>
    <t>📚 Thématique 4 – Culture 📖 Glossaire - Notre-Dame de Paris ---</t>
  </si>
  <si>
    <t>CR-T4-046</t>
  </si>
  <si>
    <t>Qui était une écrivaine française célèbre ?</t>
  </si>
  <si>
    <t>George Sand.</t>
  </si>
  <si>
    <t>Victor Hugo.</t>
  </si>
  <si>
    <t>Émile Zola.</t>
  </si>
  <si>
    <t>Molière.</t>
  </si>
  <si>
    <t>La France compte de nombreuses écrivaines célèbres. George Sand, Marguerite Yourcenar et Simone de Beauvoir figurent parmi les plus connues.</t>
  </si>
  <si>
    <t>Retenez : George Sand = écrivaine</t>
  </si>
  <si>
    <t>Connaître les grandes figures de la littérature française.</t>
  </si>
  <si>
    <t>George Sand; Marguerite Yourcenar; Simone de Beauvoir; Littérature</t>
  </si>
  <si>
    <t>📚 Thématique 4 – Culture 📖 Glossaire - George Sand - Marguerite Yourcenar - Simone de Beauvoir</t>
  </si>
  <si>
    <t>CR-T4-047</t>
  </si>
  <si>
    <t>Qui était un célèbre musicien français ?</t>
  </si>
  <si>
    <t>Mozart.</t>
  </si>
  <si>
    <t>Beethoven.</t>
  </si>
  <si>
    <t>Chopin.</t>
  </si>
  <si>
    <t>Hector Berlioz.</t>
  </si>
  <si>
    <t>La France a vu naître de grands compositeurs comme Hector Berlioz, Georges Bizet, Claude Debussy ou Maurice Ravel, dont les œuvres sont connues dans le monde entier.</t>
  </si>
  <si>
    <t xml:space="preserve">Retenez : Berlioz = musicien </t>
  </si>
  <si>
    <t>Connaître les grandes figures de la musique française.</t>
  </si>
  <si>
    <t>Berlioz; Debussy; Ravel; Musique</t>
  </si>
  <si>
    <t>📚 Thématique 4 – Culture 📖 Glossaire - Hector Berlioz</t>
  </si>
  <si>
    <t>CR-T4-048</t>
  </si>
  <si>
    <t>Qui était Auguste Renoir ?</t>
  </si>
  <si>
    <t>Un peintre français.</t>
  </si>
  <si>
    <t>Un sculpteur.</t>
  </si>
  <si>
    <t>Auguste Renoir est un peintre français du XIXᵉ siècle, célèbre pour ses œuvres impressionnistes représentant des scènes de la vie quotidienne et des portraits.</t>
  </si>
  <si>
    <t>Connaître les grandes figures de la peinture française.</t>
  </si>
  <si>
    <t>CR-T4-049</t>
  </si>
  <si>
    <t>Quelle fête est française ?</t>
  </si>
  <si>
    <t>Thanksgiving.</t>
  </si>
  <si>
    <t>Halloween.</t>
  </si>
  <si>
    <t>La Saint-Patrick.</t>
  </si>
  <si>
    <t>Le 14 juillet est la fête nationale française. Elle commémore la prise de la Bastille en 1789 et la Fête de la Fédération de 1790.</t>
  </si>
  <si>
    <t>Retenez : 14 juillet = Fête de la France</t>
  </si>
  <si>
    <t>Connaître les principales fêtes nationales.</t>
  </si>
  <si>
    <t>14 juillet; Fête nationale; Révolution française</t>
  </si>
  <si>
    <t>📚 Thématique 4 – Commémorations 📖 Glossaire - 14 juillet</t>
  </si>
  <si>
    <t>CR-T4-050</t>
  </si>
  <si>
    <t>Quel monument parisien est l'un des symboles de la France ?</t>
  </si>
  <si>
    <t>Le Colisée.</t>
  </si>
  <si>
    <t>Big Ben.</t>
  </si>
  <si>
    <t>La statue de la Liberté.</t>
  </si>
  <si>
    <t>Construite pour l'Exposition universelle de 1889, la tour Eiffel est aujourd'hui l'un des monuments les plus connus au monde et un symbole de la France.</t>
  </si>
  <si>
    <t>Retenez le mot-clé : Tour Eiffel.</t>
  </si>
  <si>
    <t>Connaître les principaux symboles du patrimoine français.</t>
  </si>
  <si>
    <t>Tour Eiffel; Paris; Patrimoine</t>
  </si>
  <si>
    <t>📚 Thématique 4 – Culture 📖 Glossaire - Tour Eiffel</t>
  </si>
  <si>
    <t>CR-T5-001</t>
  </si>
  <si>
    <t>Vivre dans la société française</t>
  </si>
  <si>
    <t>Vie quotidienne et démarches</t>
  </si>
  <si>
    <t>Quel mariage est reconnu par l'État ?</t>
  </si>
  <si>
    <t>Le mariage religieux uniquement.</t>
  </si>
  <si>
    <t>Le PACS.</t>
  </si>
  <si>
    <t>Les fiançailles.</t>
  </si>
  <si>
    <t>Le mariage civil.</t>
  </si>
  <si>
    <t>En France, seul le mariage civil célébré devant un officier d'état civil produit des effets juridiques. Une cérémonie religieuse peut être organisée ensuite, mais elle ne remplace pas le mariage civil.</t>
  </si>
  <si>
    <t>Retenez : Mariage civil = le seul reconnu par l'Etat</t>
  </si>
  <si>
    <t>Connaître les règles du mariage en France.</t>
  </si>
  <si>
    <t>Mariage civil; Mairie; État civil</t>
  </si>
  <si>
    <t>📚 Thématique 5 – Vie familiale 📖 Glossaire - Mariage civil</t>
  </si>
  <si>
    <t>QUESTIONS_THEMATIQUE_5.md</t>
  </si>
  <si>
    <t>CR-T5-002</t>
  </si>
  <si>
    <t>Éducation et famille</t>
  </si>
  <si>
    <t>Auprès de quelle institution les parents peuvent-ils inscrire leur enfant à l'école publique ?</t>
  </si>
  <si>
    <t>La préfecture.</t>
  </si>
  <si>
    <t>À la mairie.</t>
  </si>
  <si>
    <t>Au commissariat.</t>
  </si>
  <si>
    <t xml:space="preserve">A l'école directement. </t>
  </si>
  <si>
    <t>L'inscription à l'école publique commence généralement par une démarche auprès de la mairie de la commune de résidence.</t>
  </si>
  <si>
    <t xml:space="preserve">Retenez : Contactez la mairie pour inscrire un enfant à l'école publique </t>
  </si>
  <si>
    <t>Connaître les démarches liées à la scolarisation.</t>
  </si>
  <si>
    <t>École; Mairie; Inscription</t>
  </si>
  <si>
    <t>📚 Thématique 5 – Éducation 📖 Glossaire - Mairie</t>
  </si>
  <si>
    <t>CR-T5-003</t>
  </si>
  <si>
    <t>En cas de divorce, qui exerce l'autorité parentale ?</t>
  </si>
  <si>
    <t>Seulement le père.</t>
  </si>
  <si>
    <t>Les deux parents, sauf décision contraire du juge.</t>
  </si>
  <si>
    <t>Seulement la mère.</t>
  </si>
  <si>
    <t>Les grands-parents.</t>
  </si>
  <si>
    <t>Le divorce ne met pas fin à l'autorité parentale. Les deux parents continuent généralement à prendre ensemble les décisions importantes concernant leur enfant.</t>
  </si>
  <si>
    <t>Retenez : Autorité parentale = toujours active même après un divorce</t>
  </si>
  <si>
    <t>Connaître les règles de l'autorité parentale.</t>
  </si>
  <si>
    <t>Autorité parentale; Divorce; Parents</t>
  </si>
  <si>
    <t>📚 Thématique 5 – Vie familiale 📖 Glossaire - Autorité parentale</t>
  </si>
  <si>
    <t>CR-T5-004</t>
  </si>
  <si>
    <t>Quelle aide permet aux personnes qui ont des difficultés financières d'avoir un avocat ?</t>
  </si>
  <si>
    <t>Les allocations familiales.</t>
  </si>
  <si>
    <t>Le RSA.</t>
  </si>
  <si>
    <t>L'aide juridictionnelle.</t>
  </si>
  <si>
    <t>Les allocations chômage.</t>
  </si>
  <si>
    <t>L'aide juridictionnelle permet aux personnes disposant de faibles ressources de bénéficier d'une prise en charge totale ou partielle des frais de justice, notamment des honoraires d'avocat.</t>
  </si>
  <si>
    <t>Retenez : Aide juridictionnelle = peu ou pas de frais de justice</t>
  </si>
  <si>
    <t>Connaître les aides permettant l'accès à la justice.</t>
  </si>
  <si>
    <t>Aide juridictionnelle; Justice; Avocat</t>
  </si>
  <si>
    <t>📚 Thématique 5 – Justice 📖 Glossaire - Aide juridictionnelle</t>
  </si>
  <si>
    <t>CR-T5-005</t>
  </si>
  <si>
    <t>Où faut-il déclarer la naissance d'un enfant ?</t>
  </si>
  <si>
    <t>À la préfecture.</t>
  </si>
  <si>
    <t>À la mairie du lieu de naissance.</t>
  </si>
  <si>
    <t>À la CAF.</t>
  </si>
  <si>
    <t>Aux impôts.</t>
  </si>
  <si>
    <t>La naissance d'un enfant doit être déclarée dans les délais prévus par la loi auprès du service d'état civil de la mairie où l'enfant est né.</t>
  </si>
  <si>
    <t>Retenez : La naissance doit être déclaré à la mairie</t>
  </si>
  <si>
    <t>Connaître les démarches d'état civil.</t>
  </si>
  <si>
    <t>Naissance; État civil; Mairie</t>
  </si>
  <si>
    <t>📚 Thématique 5 – État civil 📖 Glossaire - État civil</t>
  </si>
  <si>
    <t>CR-T5-006</t>
  </si>
  <si>
    <t>Quelle est l'une des conditions pour passer l'examen du permis de conduire ?</t>
  </si>
  <si>
    <t>Ne pas porter de lunettes.</t>
  </si>
  <si>
    <t>Être propriétaire d'une voiture.</t>
  </si>
  <si>
    <t>Avoir un emploi.</t>
  </si>
  <si>
    <t>Avoir l'âge minimum requis.</t>
  </si>
  <si>
    <t>Pour passer le permis de conduire, il faut notamment respecter l'âge minimum prévu par la réglementation et satisfaire aux autres conditions fixées par la loi.</t>
  </si>
  <si>
    <t>Retenez : Permis de conduire = possible à partir d'un âge minimum (18 ans en général)</t>
  </si>
  <si>
    <t>Connaître les conditions d'accès au permis de conduire.</t>
  </si>
  <si>
    <t>Permis de conduire; Âge minimum</t>
  </si>
  <si>
    <t>📚 Thématique 5 – Vie quotidienne 📖 Glossaire - Permis de conduire</t>
  </si>
  <si>
    <t>CR-T5-007</t>
  </si>
  <si>
    <t>Emploi et travail</t>
  </si>
  <si>
    <t>Un bail locatif est valide s'il est :</t>
  </si>
  <si>
    <t>Conclu uniquement à l'oral.</t>
  </si>
  <si>
    <t>Écrit et signé par le propriétaire et le locataire.</t>
  </si>
  <si>
    <t>Signé uniquement par le propriétaire.</t>
  </si>
  <si>
    <t>Signé uniquement par le locataire.</t>
  </si>
  <si>
    <t>Le contrat de location (bail) doit être établi par écrit et signé par le propriétaire et le locataire afin de fixer les droits et obligations de chacun.</t>
  </si>
  <si>
    <t>Retenez : Bail = contrat de location signé par le propriétaire et le locataire</t>
  </si>
  <si>
    <t>Connaître les règles de base de la location d'un logement.</t>
  </si>
  <si>
    <t>Bail; Location; Contrat</t>
  </si>
  <si>
    <t>📚 Thématique 5 – Logement 📖 Glossaire - Bail</t>
  </si>
  <si>
    <t>CR-T5-008</t>
  </si>
  <si>
    <t>Où peut-on déposer un lave-vaisselle cassé ?</t>
  </si>
  <si>
    <t>Sur le trottoir.</t>
  </si>
  <si>
    <t>Dans la rue.</t>
  </si>
  <si>
    <t>Dans la nature.</t>
  </si>
  <si>
    <t>Dans une déchèterie ou un point de collecte prévu pour les encombrants.</t>
  </si>
  <si>
    <t>Les appareils électroménagers usagés doivent être déposés dans une déchèterie ou repris par un distributeur lors de l'achat d'un appareil neuf. Ils ne doivent pas être abandonnés sur la voie publique.</t>
  </si>
  <si>
    <t>Retenez : Pour tous déchets encombrants que vous ne pouvez pas jeter à la poubelle, rendez-vous dans une déchèterie</t>
  </si>
  <si>
    <t>Déchèterie; Encombrants; Recyclage</t>
  </si>
  <si>
    <t>📚 Thématique 5 – Environnement 📖 Glossaire - Déchèterie</t>
  </si>
  <si>
    <t>CR-T5-009</t>
  </si>
  <si>
    <t>Quel numéro d'urgence permet d'appeler la police ?</t>
  </si>
  <si>
    <t>15.</t>
  </si>
  <si>
    <t>17.</t>
  </si>
  <si>
    <t>112.</t>
  </si>
  <si>
    <t>Le 17 permet de joindre la police ou la gendarmerie en cas d'urgence. Le 112 est le numéro d'urgence européen, utilisable dans toute l'Union européenne.</t>
  </si>
  <si>
    <t>Retenez les numéros suivants : 
- 17 = police ou gendarmerie
- 15 = SAMU
- 18 = Pompiers
- 112 = numéro d'urgence européen</t>
  </si>
  <si>
    <t>Connaître les numéros d'urgence.</t>
  </si>
  <si>
    <t>17; Police; Urgence; 112</t>
  </si>
  <si>
    <t>📚 Thématique 5 – Urgences 📖 Glossaire - Numéros d'urgence</t>
  </si>
  <si>
    <t>CR-T5-010</t>
  </si>
  <si>
    <t>Santé et protection sociale</t>
  </si>
  <si>
    <t>Concernant l'accès aux soins, quelle proposition est correcte ?</t>
  </si>
  <si>
    <t>Les soins sont réservés aux personnes de nationalité française.</t>
  </si>
  <si>
    <t>Toute personne peut accéder aux soins en France.</t>
  </si>
  <si>
    <t>Il faut être salarié pour consulter un médecin.</t>
  </si>
  <si>
    <t>Seules les urgences sont accessibles.</t>
  </si>
  <si>
    <t>En France, chacun peut accéder aux soins. Les modalités de prise en charge dépendent de la situation de la personne, mais l'accès aux soins est un principe fondamental.</t>
  </si>
  <si>
    <t xml:space="preserve">Retenez : Santé = accessible à tous </t>
  </si>
  <si>
    <t>Connaître les principes d'accès aux soins.</t>
  </si>
  <si>
    <t>Santé; Soins; Assurance maladie</t>
  </si>
  <si>
    <t>📚 Thématique 5 – Santé 📖 Glossaire - Accès aux soins</t>
  </si>
  <si>
    <t>CR-T5-011</t>
  </si>
  <si>
    <t>À qui est accessible la contraception ?</t>
  </si>
  <si>
    <t>Seulement aux personnes mariées.</t>
  </si>
  <si>
    <t>Seulement aux femmes majeures.</t>
  </si>
  <si>
    <t>Seulement aux personnes ayant des enfants.</t>
  </si>
  <si>
    <t>À toute personne qui en a besoin.</t>
  </si>
  <si>
    <t>En France, la contraception est accessible à toute personne qui en a besoin. Elle permet de choisir librement si et quand avoir un enfant.</t>
  </si>
  <si>
    <t>Retenez : Contraception = à tout le monde et pas seulement réservé aux femmes (ex: le préservatif comme contraception pour les hommes)</t>
  </si>
  <si>
    <t>Connaître les droits en matière de santé.</t>
  </si>
  <si>
    <t>Contraception; Santé; Prévention</t>
  </si>
  <si>
    <t>📚 Thématique 5 – Santé 📖 Glossaire - Contraception</t>
  </si>
  <si>
    <t>CR-T5-012</t>
  </si>
  <si>
    <t>Qu'est-ce que le principe de confidentialité dans le domaine de la santé ?</t>
  </si>
  <si>
    <t>Les informations sont publiques.</t>
  </si>
  <si>
    <t>Les médecins peuvent tout raconter.</t>
  </si>
  <si>
    <t>Les employeurs ont accès au dossier médical.</t>
  </si>
  <si>
    <t>Les informations médicales d'un patient sont protégées par le secret médical.</t>
  </si>
  <si>
    <t>Le secret médical protège la vie privée des patients. Les professionnels de santé doivent respecter la confidentialité des informations qu'ils connaissent dans l'exercice de leur métier.</t>
  </si>
  <si>
    <t>Retenez le mot-clé : Secret médical</t>
  </si>
  <si>
    <t>Connaître les droits des patients.</t>
  </si>
  <si>
    <t>Secret médical; Confidentialité; Santé</t>
  </si>
  <si>
    <t>📚 Thématique 5 – Santé 📖 Glossaire - Secret médical</t>
  </si>
  <si>
    <t>CR-T5-013</t>
  </si>
  <si>
    <t>L'inscription à l'Assurance maladie est :</t>
  </si>
  <si>
    <t>Facultative.</t>
  </si>
  <si>
    <t>Obligatoire.</t>
  </si>
  <si>
    <t>Réservée aux salariés.</t>
  </si>
  <si>
    <t>Réservée aux personnes âgées.</t>
  </si>
  <si>
    <t>L'Assurance maladie est un élément essentiel du système de protection sociale français. Les personnes qui remplissent les conditions prévues doivent y être affiliées.</t>
  </si>
  <si>
    <t>Retenez : L'Assurance maladie est obligatoire</t>
  </si>
  <si>
    <t>Connaître les principes de la protection sociale.</t>
  </si>
  <si>
    <t>Assurance maladie; Protection sociale; Santé</t>
  </si>
  <si>
    <t>📚 Thématique 5 – Santé 📖 Glossaire - Assurance maladie</t>
  </si>
  <si>
    <t>CR-T5-014</t>
  </si>
  <si>
    <t>Qui peut demander un congé parental d'éducation ?</t>
  </si>
  <si>
    <t>Le père ou la mère.</t>
  </si>
  <si>
    <t>Le congé parental permet à un parent de réduire ou de suspendre temporairement son activité professionnelle pour s'occuper de son enfant.</t>
  </si>
  <si>
    <t>Retenez : Congé parental = disponible pour les 2 parents</t>
  </si>
  <si>
    <t>Connaître les droits des parents.</t>
  </si>
  <si>
    <t>Congé parental; Parents; Travail</t>
  </si>
  <si>
    <t>📚 Thématique 5 – Vie familiale 📖 Glossaire - Congé parental</t>
  </si>
  <si>
    <t>CR-T5-015</t>
  </si>
  <si>
    <t>Quelles sont les affaires traitées par le conseil de prud'hommes ?</t>
  </si>
  <si>
    <t>Les divorces.</t>
  </si>
  <si>
    <t>Les infractions pénales.</t>
  </si>
  <si>
    <t>Les conflits entre un salarié et son employeur.</t>
  </si>
  <si>
    <t>Les conflits entre voisins.</t>
  </si>
  <si>
    <t>Le conseil de prud'hommes est un tribunal spécialisé qui traite les litiges individuels liés au contrat de travail entre salariés et employeurs.</t>
  </si>
  <si>
    <t>Retenez : Les Prud'hommes = conflits de travail</t>
  </si>
  <si>
    <t>Connaître les institutions du monde du travail.</t>
  </si>
  <si>
    <t>Prud'hommes; Salarié; Employeur; Contrat de travail</t>
  </si>
  <si>
    <t>📚 Thématique 5 – Travail 📖 Glossaire - Conseil de prud'hommes</t>
  </si>
  <si>
    <t>CR-T5-016</t>
  </si>
  <si>
    <t>Travailler sans être déclaré est :</t>
  </si>
  <si>
    <t>Interdit par la loi.</t>
  </si>
  <si>
    <t>Autorisé si l'employeur est d'accord.</t>
  </si>
  <si>
    <t>Autorisé pour les petits emplois.</t>
  </si>
  <si>
    <t>Obligatoire pour les étudiants.</t>
  </si>
  <si>
    <t>Le travail non déclaré, appelé aussi travail dissimulé, est interdit. Il prive notamment le salarié de ses droits sociaux (Assurance maladie, retraite, chômage...) et expose le salarié comme l'employeur à des sanctions.</t>
  </si>
  <si>
    <t>Retenez : Travail dissimulé = interdit</t>
  </si>
  <si>
    <t>Connaître les règles du droit du travail.</t>
  </si>
  <si>
    <t>Travail dissimulé; Emploi; Loi</t>
  </si>
  <si>
    <t>📚 Thématique 5 – Travail 📖 Glossaire - Travail dissimulé</t>
  </si>
  <si>
    <t>CR-T5-017</t>
  </si>
  <si>
    <t>Lorsqu'un employeur veut qu'un salarié travaille plus longtemps que la durée prévue dans son contrat de travail :</t>
  </si>
  <si>
    <t>L'employeur peut imposer n'importe quel nombre d'heures.</t>
  </si>
  <si>
    <t>Les heures supplémentaires ne sont jamais rémunérées.</t>
  </si>
  <si>
    <t>Les heures supplémentaires doivent respecter les règles prévues par la loi.</t>
  </si>
  <si>
    <t>Le contrat de travail n'a plus de valeur.</t>
  </si>
  <si>
    <t>Les heures supplémentaires sont encadrées par le Code du travail. Elles doivent respecter les limites légales ou conventionnelles et donnent généralement droit à une rémunération majorée ou à un repos compensateur.</t>
  </si>
  <si>
    <t>Retenez : Les heures supplémentaires doivent respecter des lois et sont limitées</t>
  </si>
  <si>
    <t>Connaître les règles essentielles du droit du travail.</t>
  </si>
  <si>
    <t>Heures supplémentaires; Contrat de travail; Employeur</t>
  </si>
  <si>
    <t>📚 Thématique 5 – Travail 📖 Glossaire - Heures supplémentaires</t>
  </si>
  <si>
    <t>CR-T5-018</t>
  </si>
  <si>
    <t>Quelle est la mission de France Travail ?</t>
  </si>
  <si>
    <t>Délivrer les cartes d'identité.</t>
  </si>
  <si>
    <t>Gérer les hôpitaux.</t>
  </si>
  <si>
    <t>Accompagner les personnes dans leur recherche d'emploi.</t>
  </si>
  <si>
    <t>France Travail accompagne les demandeurs d'emploi, propose des offres, des formations et des conseils afin de favoriser le retour à l'emploi.</t>
  </si>
  <si>
    <t>Retenez le mot-clé : France Travail</t>
  </si>
  <si>
    <t>Connaître les principaux services publics de l'emploi.</t>
  </si>
  <si>
    <t>France Travail; Emploi; Accompagnement</t>
  </si>
  <si>
    <t>📚 Thématique 5 – Travail 📖 Glossaire - France Travail</t>
  </si>
  <si>
    <t>CR-T5-019</t>
  </si>
  <si>
    <t>Dans une entreprise, le droit syndical permet :</t>
  </si>
  <si>
    <t>De refuser d'appliquer le contrat de travail.</t>
  </si>
  <si>
    <t>De créer un syndicat, d'y adhérer ou non, et d'exercer une activité syndicale dans le respect de la loi.</t>
  </si>
  <si>
    <t>D'imposer ses opinions politiques à ses collègues.</t>
  </si>
  <si>
    <t>De remplacer l'employeur.</t>
  </si>
  <si>
    <t>Le droit syndical garantit aux salariés la liberté d'adhérer à un syndicat, de ne pas y adhérer ou de participer à ses activités, dans le respect de la loi.</t>
  </si>
  <si>
    <t>Retenez : Le droit Syndical = liberté de créer ou d'adhérer ou non à un syndicat</t>
  </si>
  <si>
    <t>Connaître les libertés des salariés.</t>
  </si>
  <si>
    <t>Syndicat; Liberté syndicale; Travail</t>
  </si>
  <si>
    <t>📚 Thématique 5 – Travail 📖 Glossaire - Syndicat</t>
  </si>
  <si>
    <t>CR-T5-020</t>
  </si>
  <si>
    <t>Dans une entreprise, le droit de grève autorise :</t>
  </si>
  <si>
    <t>Les salariés à quitter définitivement leur emploi.</t>
  </si>
  <si>
    <t>Les salariés à dégrader leur entreprise.</t>
  </si>
  <si>
    <t>Les salariés à cesser collectivement le travail pour défendre leurs revendications professionnelles.</t>
  </si>
  <si>
    <t>Les salariés à ne plus respecter leur contrat de travail.</t>
  </si>
  <si>
    <t>Le droit de grève est une liberté reconnue par la Constitution. Il permet aux salariés de cesser collectivement le travail pour défendre leurs intérêts professionnels, dans le respect des règles applicables.</t>
  </si>
  <si>
    <t>Retenez : La Grève est une liberté qui permet de défendre ses intérêts</t>
  </si>
  <si>
    <t>Connaître les droits des salariés.</t>
  </si>
  <si>
    <t>Grève; Salariés; Constitution</t>
  </si>
  <si>
    <t>📚 Thématique 5 – Travail 📖 Glossaire - Droit de grève</t>
  </si>
  <si>
    <t>CR-T5-021</t>
  </si>
  <si>
    <t>Quelles sont les conditions pour toucher les allocations chômage ?</t>
  </si>
  <si>
    <t>Être simplement sans emploi.</t>
  </si>
  <si>
    <t>Avoir travaillé et remplir les conditions prévues par la réglementation.</t>
  </si>
  <si>
    <t>En faire la demande sans autre condition.</t>
  </si>
  <si>
    <t>Être de nationalité française.</t>
  </si>
  <si>
    <t>Les allocations chômage sont versées aux personnes qui remplissent les conditions prévues par la réglementation, notamment une durée minimale d'activité et une inscription auprès de France Travail.</t>
  </si>
  <si>
    <t xml:space="preserve">Retenez : Le droit au chômage doit répondre à plusieurs conditions </t>
  </si>
  <si>
    <t>Connaître les principes de l'assurance chômage.</t>
  </si>
  <si>
    <t>Chômage; France Travail; Allocations</t>
  </si>
  <si>
    <t>📚 Thématique 5 – Travail 📖 Glossaire - Assurance chômage</t>
  </si>
  <si>
    <t>CR-T5-022</t>
  </si>
  <si>
    <t>Qu'est-ce que l'école maternelle ?</t>
  </si>
  <si>
    <t>Le collège.</t>
  </si>
  <si>
    <t>L'école qui accueille les jeunes enfants avant l'école élémentaire.</t>
  </si>
  <si>
    <t>Le lycée.</t>
  </si>
  <si>
    <t>L'université.</t>
  </si>
  <si>
    <t>L'école maternelle constitue la première étape de la scolarité. Elle favorise le développement, la socialisation et les premiers apprentissages.</t>
  </si>
  <si>
    <t>Retenez : L'école maternelle accueille les enfants entre 3 et 6 ans 
Lycée&gt;Collège&gt;Primaire&gt;Maternelle</t>
  </si>
  <si>
    <t>Connaître l'organisation du système scolaire.</t>
  </si>
  <si>
    <t>École maternelle; Enfance; Éducation</t>
  </si>
  <si>
    <t>📚 Thématique 5 – Éducation 📖 Glossaire - École maternelle</t>
  </si>
  <si>
    <t>CR-T5-023</t>
  </si>
  <si>
    <t>Comment s'appelle le diplôme passé par les élèves à la fin du collège ?</t>
  </si>
  <si>
    <t>Le baccalauréat.</t>
  </si>
  <si>
    <t>Le CAP.</t>
  </si>
  <si>
    <t>La licence.</t>
  </si>
  <si>
    <t>Le diplôme national du brevet.</t>
  </si>
  <si>
    <t>Le diplôme national du brevet évalue les connaissances et compétences acquises à la fin du collège.</t>
  </si>
  <si>
    <t>Retenez : Brevet = diplôme de fin de collège</t>
  </si>
  <si>
    <t>Connaître l'organisation du système scolaire français.</t>
  </si>
  <si>
    <t>Brevet; Collège; DNB</t>
  </si>
  <si>
    <t>📚 Thématique 5 – Éducation 📖 Glossaire - Diplôme national du brevet</t>
  </si>
  <si>
    <t>CR-T5-024</t>
  </si>
  <si>
    <t>Les parents d'élève ont le droit de :</t>
  </si>
  <si>
    <t>Modifier les programmes scolaires.</t>
  </si>
  <si>
    <t>Choisir les notes de leur enfant.</t>
  </si>
  <si>
    <t>Décider seuls des sanctions disciplinaires.</t>
  </si>
  <si>
    <t>Participer aux réunions organisées par l'école et échanger avec les enseignants.</t>
  </si>
  <si>
    <t>Les parents sont des partenaires de l'école. Ils peuvent rencontrer les enseignants, participer aux réunions et suivre la scolarité de leur enfant, dans le respect du fonctionnement de l'établissement.</t>
  </si>
  <si>
    <t>Retenez : Les parents peuvent échanger et participer aux réunions scolaires</t>
  </si>
  <si>
    <t>Connaître les droits des parents d'élèves.</t>
  </si>
  <si>
    <t>Parents; École; Réunions</t>
  </si>
  <si>
    <t>📚 Thématique 5 – Éducation 📖 Glossaire - Parents d'élèves</t>
  </si>
  <si>
    <t>CR-T5-025</t>
  </si>
  <si>
    <t>Qui peut manger à la cantine scolaire ?</t>
  </si>
  <si>
    <t>Seulement les meilleurs élèves.</t>
  </si>
  <si>
    <t>Tous les élèves inscrits, selon les règles de la commune ou de l'établissement.</t>
  </si>
  <si>
    <t>Seulement les enfants français.</t>
  </si>
  <si>
    <t>Seulement les élèves du primaire.</t>
  </si>
  <si>
    <t>La cantine scolaire est un service proposé aux élèves. Les modalités d'inscription sont fixées par la commune ou l'établissement, dans le respect du principe d'égalité d'accès.</t>
  </si>
  <si>
    <t>Retenez : Tous les élèves peuvent manger à la cantine</t>
  </si>
  <si>
    <t>Connaître le fonctionnement de l'école.</t>
  </si>
  <si>
    <t>Cantine; École; Élèves</t>
  </si>
  <si>
    <t>📚 Thématique 5 – Éducation 📖 Glossaire - Cantine scolaire</t>
  </si>
  <si>
    <t>CR-T5-026</t>
  </si>
  <si>
    <t>À quel âge commence l'instruction obligatoire des enfants ?</t>
  </si>
  <si>
    <t>2 ans.</t>
  </si>
  <si>
    <t>À 3 ans.</t>
  </si>
  <si>
    <t>16 ans.</t>
  </si>
  <si>
    <t>En France, l'instruction est obligatoire pour tous les enfants à partir de 3 ans jusqu'à l'âge de 16 ans.</t>
  </si>
  <si>
    <t>Retenez : Début de l'instruction obligatoire = 3 ans</t>
  </si>
  <si>
    <t>Connaître les règles de la scolarité obligatoire.</t>
  </si>
  <si>
    <t>Instruction obligatoire; École; 3 ans</t>
  </si>
  <si>
    <t>📚 Thématique 5 – Éducation 📖 Glossaire - Instruction obligatoire</t>
  </si>
  <si>
    <t>CR-T5-027</t>
  </si>
  <si>
    <t>Quel est l'âge de la majorité ?</t>
  </si>
  <si>
    <t>18 ans.</t>
  </si>
  <si>
    <t>17 ans.</t>
  </si>
  <si>
    <t>21 ans.</t>
  </si>
  <si>
    <t>En France, la majorité est fixée à 18 ans. À partir de cet âge, une personne devient juridiquement majeure et exerce pleinement ses droits civils.</t>
  </si>
  <si>
    <t>Retenez : Majorité = 18 ans en France</t>
  </si>
  <si>
    <t>Connaître les principaux repères juridiques.</t>
  </si>
  <si>
    <t>Majorité; 18 ans</t>
  </si>
  <si>
    <t>📚 Thématique 5 – Citoyenneté 📖 Glossaire - Majorité</t>
  </si>
  <si>
    <t>CR-T5-028</t>
  </si>
  <si>
    <t>À l'école, il est interdit aux parents de :</t>
  </si>
  <si>
    <t>Rencontrer les enseignants.</t>
  </si>
  <si>
    <t>Contester les enseignements ou les activités obligatoires pour des motifs religieux.</t>
  </si>
  <si>
    <t>Participer aux réunions de parents.</t>
  </si>
  <si>
    <t>Élire leurs représentants.</t>
  </si>
  <si>
    <t>Tous les élèves doivent suivre les enseignements obligatoires prévus par les programmes scolaires. Les parents ne peuvent pas s'y opposer pour des motifs religieux.</t>
  </si>
  <si>
    <t>Retenez : Les parents ne peuvent pas s'opposer à un enseignement</t>
  </si>
  <si>
    <t>Connaître les règles de l'école publique.</t>
  </si>
  <si>
    <t>École; Laïcité; Enseignements obligatoires</t>
  </si>
  <si>
    <t>📚 Thématique 5 – Éducation 📖 Glossaire - Enseignement obligatoire - Laïcité</t>
  </si>
  <si>
    <t>CR-T5-029</t>
  </si>
  <si>
    <t>Quel motif d'absence est accepté par l'école ?</t>
  </si>
  <si>
    <t>Partir en vacances hors période scolaire.</t>
  </si>
  <si>
    <t>Un enfant malade.</t>
  </si>
  <si>
    <t>Ne pas avoir envie d'aller à l'école.</t>
  </si>
  <si>
    <t>Dormir plus longtemps.</t>
  </si>
  <si>
    <t>Les absences scolaires doivent être justifiées. La maladie fait partie des motifs légitimes prévus par la réglementation.</t>
  </si>
  <si>
    <t>Retenez : Une absence scolaire doit être justifié (ex : maladie, hospitalisation…)</t>
  </si>
  <si>
    <t>Connaître les obligations liées à la scolarité.</t>
  </si>
  <si>
    <t>Absence; École; Maladie</t>
  </si>
  <si>
    <t>📚 Thématique 5 – Éducation 📖 Glossaire - Absence justifiée</t>
  </si>
  <si>
    <t>CR-T5-030</t>
  </si>
  <si>
    <t>Des parents ne respectent pas l'obligation d'instruction pour leurs enfants. Quelle sanction maximale risquent-ils ?</t>
  </si>
  <si>
    <t>Jusqu'à 6 mois d'emprisonnement et 7 500 € d'amende.</t>
  </si>
  <si>
    <t>Aucun risque.</t>
  </si>
  <si>
    <t>Seulement un avertissement.</t>
  </si>
  <si>
    <t>Une simple remarque de l'école.</t>
  </si>
  <si>
    <t>Les parents ont l'obligation de veiller à ce que leur enfant reçoive une instruction. Le non-respect de cette obligation constitue une infraction pouvant entraîner des sanctions pénales.</t>
  </si>
  <si>
    <t>Retenez : Le non-respect de l'instruction obligatoire = infraction</t>
  </si>
  <si>
    <t>Connaître les obligations des parents en matière de scolarité.</t>
  </si>
  <si>
    <t>Instruction obligatoire; Parents; Sanctions</t>
  </si>
  <si>
    <t>📚 Thématique 5 – Éducation 📖 Glossaire - Obligation d'instruction</t>
  </si>
  <si>
    <t>CR-T5-031</t>
  </si>
  <si>
    <t>Quand ont lieu les vacances scolaires de Noël ?</t>
  </si>
  <si>
    <t>En décembre.</t>
  </si>
  <si>
    <t>En février.</t>
  </si>
  <si>
    <t>En avril.</t>
  </si>
  <si>
    <t>En Octobre.</t>
  </si>
  <si>
    <t>Les vacances scolaires de Noël ont lieu chaque année à la fin du mois de décembre. Les dates précises varient légèrement selon le calendrier scolaire.</t>
  </si>
  <si>
    <t>Retenez : Vacances de Noël = Décembre. La date de Noël est le 25 décembre</t>
  </si>
  <si>
    <t>Connaître les principaux repères du calendrier scolaire.</t>
  </si>
  <si>
    <t>Vacances scolaires; Noël; Calendrier scolaire</t>
  </si>
  <si>
    <t>📚 Thématique 5 – Éducation 📖 Glossaire - Calendrier scolaire</t>
  </si>
  <si>
    <t>CR-T5-032</t>
  </si>
  <si>
    <t>À l'école, un enfant en situation de handicap :</t>
  </si>
  <si>
    <t>Doit obligatoirement être scolarisé dans un établissement spécialisé.</t>
  </si>
  <si>
    <t>A le droit d'être scolarisé avec les autres élèves lorsque cela est possible, avec les accompagnements nécessaires.</t>
  </si>
  <si>
    <t>Ne peut pas fréquenter l'école publique.</t>
  </si>
  <si>
    <t>Est dispensé d'instruction.</t>
  </si>
  <si>
    <t>L'école française favorise l'école inclusive. Les élèves en situation de handicap ont le droit d'être scolarisés avec les autres élèves lorsque cela est possible, avec les aménagements et accompagnements nécessaires.</t>
  </si>
  <si>
    <t>Retenez : Les éléves handicapés ont le droit d'être avec les autres élèves = école inclusive</t>
  </si>
  <si>
    <t>Connaître les principes de l'école inclusive.</t>
  </si>
  <si>
    <t>Handicap; École inclusive; Scolarisation</t>
  </si>
  <si>
    <t>📚 Thématique 5 – Éducation 📖 Glossaire - École inclusive - Handicap</t>
  </si>
  <si>
    <t>Contrôle qualité — Banque Carte de résident</t>
  </si>
  <si>
    <t>Indicateur</t>
  </si>
  <si>
    <t>Formule / résultat</t>
  </si>
  <si>
    <t>Objectif</t>
  </si>
  <si>
    <t>Nombre</t>
  </si>
  <si>
    <t>Nombre total de questions</t>
  </si>
  <si>
    <t>204</t>
  </si>
  <si>
    <t>Thématique 1</t>
  </si>
  <si>
    <t>39</t>
  </si>
  <si>
    <t>Thématique 2</t>
  </si>
  <si>
    <t>50</t>
  </si>
  <si>
    <t>Thématique 3</t>
  </si>
  <si>
    <t>38</t>
  </si>
  <si>
    <t>Thématique 4</t>
  </si>
  <si>
    <t>45</t>
  </si>
  <si>
    <t>Total</t>
  </si>
  <si>
    <t>Thématique 5</t>
  </si>
  <si>
    <t>32</t>
  </si>
  <si>
    <t>Questions à vérifier</t>
  </si>
  <si>
    <t>Relecture éditoriale</t>
  </si>
  <si>
    <t>Lecture éditoriale recommandée</t>
  </si>
  <si>
    <t>1</t>
  </si>
  <si>
    <t>Vérifier la précision factuelle de chaque QCM.</t>
  </si>
  <si>
    <t>2</t>
  </si>
  <si>
    <t>Valider la crédibilité des distracteurs générés à partir des réponses erronées du fichier source.</t>
  </si>
  <si>
    <t>3</t>
  </si>
  <si>
    <t>Améliorer les astuces mémoire génériques lors de la relecture thématique.</t>
  </si>
  <si>
    <t>4</t>
  </si>
  <si>
    <t>Passer le statut de « À vérifier » à « Validée » après contrôle.</t>
  </si>
  <si>
    <t>5</t>
  </si>
  <si>
    <t>Générer ensuite les fichiers Markdown ChatMD depuis cette banque source.</t>
  </si>
  <si>
    <t>Standard Banque officielle NovaFrate V2</t>
  </si>
  <si>
    <t>Champ</t>
  </si>
  <si>
    <t>Obligatoire</t>
  </si>
  <si>
    <t>Règle</t>
  </si>
  <si>
    <t>Module utilisateur</t>
  </si>
  <si>
    <t>Identifiant unique CR-Tx-xxx</t>
  </si>
  <si>
    <t>Tous</t>
  </si>
  <si>
    <t>Une seule idée, formulation simple</t>
  </si>
  <si>
    <t>Réponses A-D</t>
  </si>
  <si>
    <t>4 propositions plausibles et homogènes</t>
  </si>
  <si>
    <t>Une seule lettre A/B/C/D</t>
  </si>
  <si>
    <t>Score</t>
  </si>
  <si>
    <t>Courte et claire</t>
  </si>
  <si>
    <t>Diagnostic + révision</t>
  </si>
  <si>
    <t>Une phrase maximum</t>
  </si>
  <si>
    <t>🟢 / 🟡 / 🔴</t>
  </si>
  <si>
    <t>Diagnostic + statistiques</t>
  </si>
  <si>
    <t>Une compétence observable</t>
  </si>
  <si>
    <t>Remédiation</t>
  </si>
  <si>
    <t>3 à 6 termes</t>
  </si>
  <si>
    <t>Recherche</t>
  </si>
  <si>
    <t>Ressources</t>
  </si>
  <si>
    <t>Cours et glossaire correspondants</t>
  </si>
  <si>
    <t>À vérifier → Validée → Publiée</t>
  </si>
  <si>
    <t>Production</t>
  </si>
  <si>
    <t>Fichiers sources intégrés</t>
  </si>
  <si>
    <t>Thématique</t>
  </si>
  <si>
    <t>Fichier</t>
  </si>
  <si>
    <t>Nombre de questions</t>
  </si>
  <si>
    <t>Usage</t>
  </si>
  <si>
    <t>Source éditoriale de la banque CR</t>
  </si>
  <si>
    <t>ID_QUESTION</t>
  </si>
  <si>
    <t>TYPE_EXAMEN</t>
  </si>
  <si>
    <t>ORDRE_THEME</t>
  </si>
  <si>
    <t>ID_THEME</t>
  </si>
  <si>
    <t>TITRE_THEME</t>
  </si>
  <si>
    <t>ID_CHAPITRE</t>
  </si>
  <si>
    <t>TITRE_CHAPITRE</t>
  </si>
  <si>
    <t>QUESTION</t>
  </si>
  <si>
    <t>REPONSE_A</t>
  </si>
  <si>
    <t>REPONSE_B</t>
  </si>
  <si>
    <t>REPONSE_C</t>
  </si>
  <si>
    <t>REPONSE_D</t>
  </si>
  <si>
    <t>BONNE_REPONSE</t>
  </si>
  <si>
    <t>EXPLICATION_PEDAGOGIQUE</t>
  </si>
  <si>
    <t>ASTUCE_MEMOIRE</t>
  </si>
  <si>
    <t>DIFFICULTE</t>
  </si>
  <si>
    <t>COMPETENCE</t>
  </si>
  <si>
    <t>MOTS_CLES</t>
  </si>
  <si>
    <t>RESSOURCES_A_REVOIR</t>
  </si>
  <si>
    <t>DIAGNOSTIC</t>
  </si>
  <si>
    <t>REVISION</t>
  </si>
  <si>
    <t>EXAMEN_BLANC</t>
  </si>
  <si>
    <t>ACTIF</t>
  </si>
  <si>
    <t>FICHIER_SOURCE</t>
  </si>
  <si>
    <t>ORIGINE_DISTRACTEURS</t>
  </si>
  <si>
    <t>Carte de résident</t>
  </si>
  <si>
    <t>T3</t>
  </si>
  <si>
    <t>T3_CH02</t>
  </si>
  <si>
    <t>Les obligations et les devoirs</t>
  </si>
  <si>
    <t>T1</t>
  </si>
  <si>
    <t>T1_CH01</t>
  </si>
  <si>
    <t>Connaître et comprendre la République</t>
  </si>
  <si>
    <t>T5</t>
  </si>
  <si>
    <t>T5_CH01</t>
  </si>
  <si>
    <t>Les démarches administratives</t>
  </si>
  <si>
    <t>T1_CH03</t>
  </si>
  <si>
    <t>Les symboles de la République française</t>
  </si>
  <si>
    <t>Retenez : Gloire = grandeur</t>
  </si>
  <si>
    <t>T1_CH04</t>
  </si>
  <si>
    <t>La laïcité</t>
  </si>
  <si>
    <t>T5_CH04</t>
  </si>
  <si>
    <t>La parentalité</t>
  </si>
  <si>
    <t>Retenez : Cours = obligatoire</t>
  </si>
  <si>
    <t>T1_CH02</t>
  </si>
  <si>
    <t>La devise de la République française</t>
  </si>
  <si>
    <t>Retenez le mot-clé : Marianne = symbole</t>
  </si>
  <si>
    <t>Retenez : Portrait de Marianne sur timbres</t>
  </si>
  <si>
    <t>Retenez : Nous sommes tous égaux !</t>
  </si>
  <si>
    <t>T1_CH05</t>
  </si>
  <si>
    <t>La langue de la République</t>
  </si>
  <si>
    <t>L'arc de triomphe.</t>
  </si>
  <si>
    <t>Le bonnet prhygien.</t>
  </si>
  <si>
    <t>Non c'est interdit par la loi.</t>
  </si>
  <si>
    <t>Retenez : la constitution dit que la France est indivisible, laïque, démocratique et sociale.</t>
  </si>
  <si>
    <t>T2</t>
  </si>
  <si>
    <t>Système institutionnel et politique</t>
  </si>
  <si>
    <t>T2_CH01</t>
  </si>
  <si>
    <t>État de droit et séparation des pouvoirs</t>
  </si>
  <si>
    <t>Retenez : Etat de droit = garantit le respect des lois pour tous</t>
  </si>
  <si>
    <t>T2_CH03</t>
  </si>
  <si>
    <t>Organisation de la République française</t>
  </si>
  <si>
    <t>T2_CH02</t>
  </si>
  <si>
    <t>Démocratie et droit de vote</t>
  </si>
  <si>
    <t>Non c'est impossible.</t>
  </si>
  <si>
    <t>Oui mais uniquement si c'est un membre de la famille.</t>
  </si>
  <si>
    <t>Non, le nom et prénom de la personne indiqué sur la carte électorale et la seule qui peut voter.</t>
  </si>
  <si>
    <t>Non seulement pour les élections présidentielles.</t>
  </si>
  <si>
    <t>Oui, cela est même inscrit dans la constitution.</t>
  </si>
  <si>
    <t>Oui si un référendum est voté.</t>
  </si>
  <si>
    <t>Retenez : Un sénateur = six ans</t>
  </si>
  <si>
    <t>Le pouvoir présidentiel, le pouvoir gourvenemental et le pouvoir parlementaire.</t>
  </si>
  <si>
    <t>Le pouvoir policier, le pouvoir judiciaire et le pouvoir de l'armée.</t>
  </si>
  <si>
    <t>Retenez : Exécutif (gouverne), Légistatif (lois), Judiciaire (justice)</t>
  </si>
  <si>
    <t>Un député qui responsable de plusieurs départements.</t>
  </si>
  <si>
    <t>La résidence officielle et le lieu de travail du Président de la République.</t>
  </si>
  <si>
    <t>Le bâtiment où préside l'Assemblée nationnale.</t>
  </si>
  <si>
    <t>Retenez : Premier ministre = chef du gouvernement</t>
  </si>
  <si>
    <t>Retenez : Défenseur des droits protège les droits</t>
  </si>
  <si>
    <t>T2_CH04</t>
  </si>
  <si>
    <t>Les institutions européennes</t>
  </si>
  <si>
    <t>Retenez : Parlement européen = Strasbourg (Dans le mot "Parlement" il y a le "a" de Strasbourg)
Commission européenne = Bruxelles</t>
  </si>
  <si>
    <t>T3_CH01</t>
  </si>
  <si>
    <t>Les droits fondamentaux</t>
  </si>
  <si>
    <t>Retenez : Divorce = toujours possible</t>
  </si>
  <si>
    <t>Retenez : Avortement = autorisé</t>
  </si>
  <si>
    <t>T5_CH03</t>
  </si>
  <si>
    <t>L’emploi</t>
  </si>
  <si>
    <t>Retenez : N'importe quelle femme enceinte peut demander à avorter.</t>
  </si>
  <si>
    <t>Retenez : Interdire une personne de conduire sous l'effet de l'alcool est une limitation de la liberté afin de protéger les autres.</t>
  </si>
  <si>
    <t>Prendre parti et aller sauver la victime.</t>
  </si>
  <si>
    <t>Des violences conjugales.</t>
  </si>
  <si>
    <t>T4</t>
  </si>
  <si>
    <t>Histoire, géographie et culture</t>
  </si>
  <si>
    <t>T4_CH01</t>
  </si>
  <si>
    <t>Retenez : 2002 = Monnaie (€)</t>
  </si>
  <si>
    <t>Retenez : 1914 = début 1ère guerre mondiale</t>
  </si>
  <si>
    <t>T4_CH02</t>
  </si>
  <si>
    <t>Territoires et géographie de la France</t>
  </si>
  <si>
    <t>À compléter</t>
  </si>
  <si>
    <t>T4_CH03</t>
  </si>
  <si>
    <t>Patrimoine et culture française</t>
  </si>
  <si>
    <t>Retenez : Berlioz = musicien</t>
  </si>
  <si>
    <t>A l'école directement.</t>
  </si>
  <si>
    <t>Retenez : Contactez la mairie pour inscrire un enfant à l'école publique</t>
  </si>
  <si>
    <t>T5_CH02</t>
  </si>
  <si>
    <t>La santé</t>
  </si>
  <si>
    <t>Retenez : Santé = accessible à tous</t>
  </si>
  <si>
    <t>Retenez : Le droit au chômage doit répondre à plusieurs conditions</t>
  </si>
  <si>
    <t>CONTRÔLE DE COUVERTURE — MINI-QCM CARTE DE RÉSIDENT</t>
  </si>
  <si>
    <t>Chaque chapitre doit disposer d’au moins 5 questions actives pour permettre à Python de tirer un mini-QCM sans doublon.</t>
  </si>
  <si>
    <t>NB_QUESTIONS_ACTIVES</t>
  </si>
  <si>
    <t>ECART_A_5</t>
  </si>
  <si>
    <t>STATUT</t>
  </si>
  <si>
    <t>T1_CH06</t>
  </si>
  <si>
    <t>Le contrat d’engagement à respecter les principes de la République</t>
  </si>
  <si>
    <t>SOURCE_REFERENCE</t>
  </si>
  <si>
    <t>03_REVISIONS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</si>
</sst>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6"/>
      <color rgb="FFFFFFFF"/>
      <name val="Carlito"/>
    </font>
    <font>
      <b/>
      <sz val="11"/>
      <name val="Carlito"/>
    </font>
    <font>
      <b/>
      <sz val="12"/>
      <name val="Carlito"/>
    </font>
    <font>
      <b/>
      <sz val="12"/>
      <color rgb="FFFFC000"/>
      <name val="Carlito"/>
    </font>
    <font>
      <b/>
      <sz val="15"/>
      <color rgb="FFFFFFFF"/>
      <name val="Carlito"/>
    </font>
    <font>
      <i/>
      <sz val="11"/>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5B9BD5"/>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3" fillId="3" borderId="0" xfId="0" applyFont="1" applyFill="1"/>
    <xf numFmtId="0" fontId="3" fillId="3" borderId="0" xfId="0" applyFont="1" applyFill="1" applyAlignment="1">
      <alignment wrapText="1"/>
    </xf>
    <xf numFmtId="4" fontId="0" fillId="0" borderId="0" xfId="0" applyNumberFormat="1" applyAlignment="1">
      <alignment wrapText="1"/>
    </xf>
    <xf numFmtId="0" fontId="1" fillId="4" borderId="0" xfId="0" applyFont="1" applyFill="1" applyAlignment="1">
      <alignment horizontal="center" wrapText="1"/>
    </xf>
    <xf numFmtId="0" fontId="1" fillId="4" borderId="0" xfId="0" applyFont="1" applyFill="1" applyAlignment="1">
      <alignment horizontal="center" vertical="center" wrapText="1"/>
    </xf>
    <xf numFmtId="0" fontId="0" fillId="0" borderId="0" xfId="0" applyAlignment="1">
      <alignment vertical="top" wrapText="1"/>
    </xf>
    <xf numFmtId="0" fontId="1" fillId="6" borderId="0" xfId="0" applyFont="1" applyFill="1" applyAlignment="1">
      <alignment horizontal="center" vertical="center" wrapText="1"/>
    </xf>
    <xf numFmtId="0" fontId="2" fillId="2" borderId="0" xfId="0" applyFont="1" applyFill="1" applyAlignment="1">
      <alignment horizontal="center"/>
    </xf>
    <xf numFmtId="0" fontId="0" fillId="0" borderId="0" xfId="0"/>
    <xf numFmtId="0" fontId="1" fillId="2" borderId="0" xfId="0" applyFont="1" applyFill="1" applyAlignment="1">
      <alignment horizontal="center"/>
    </xf>
    <xf numFmtId="0" fontId="6" fillId="4" borderId="0" xfId="0" applyFont="1" applyFill="1" applyAlignment="1">
      <alignment horizontal="center" vertical="center"/>
    </xf>
    <xf numFmtId="0" fontId="7" fillId="5" borderId="0" xfId="0" applyFont="1" applyFill="1" applyAlignment="1">
      <alignment wrapText="1"/>
    </xf>
  </cellXfs>
  <cellStyles count="1">
    <cellStyle name="Normal" xfId="0" builtinId="0"/>
  </cellStyles>
  <dxfs count="12">
    <dxf>
      <font>
        <b/>
      </font>
      <fill>
        <patternFill>
          <bgColor rgb="FFF4CCCC"/>
        </patternFill>
      </fill>
    </dxf>
    <dxf>
      <font>
        <b/>
      </font>
      <fill>
        <patternFill>
          <bgColor rgb="FFD9EAD3"/>
        </patternFill>
      </fill>
    </dxf>
    <dxf>
      <fill>
        <patternFill>
          <bgColor rgb="FFFFF2CC"/>
        </patternFill>
      </fill>
    </dxf>
    <dxf>
      <fill>
        <patternFill>
          <bgColor rgb="FFD9EAD3"/>
        </patternFill>
      </fill>
    </dxf>
    <dxf>
      <font>
        <b/>
      </font>
      <fill>
        <patternFill>
          <bgColor rgb="FFF4CCCC"/>
        </patternFill>
      </fill>
    </dxf>
    <dxf>
      <fill>
        <patternFill>
          <bgColor rgb="FFF4CCCC"/>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ill>
        <patternFill>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Répartition des bonnes réponses</a:t>
            </a:r>
          </a:p>
        </c:rich>
      </c:tx>
      <c:overlay val="0"/>
    </c:title>
    <c:autoTitleDeleted val="0"/>
    <c:plotArea>
      <c:layout/>
      <c:barChart>
        <c:barDir val="col"/>
        <c:grouping val="clustered"/>
        <c:varyColors val="0"/>
        <c:ser>
          <c:idx val="0"/>
          <c:order val="0"/>
          <c:tx>
            <c:v>Nombre</c:v>
          </c:tx>
          <c:invertIfNegative val="1"/>
          <c:cat>
            <c:strRef>
              <c:f>Contrôle_Qualité!$E$4:$E$7</c:f>
              <c:strCache>
                <c:ptCount val="4"/>
                <c:pt idx="0">
                  <c:v>A</c:v>
                </c:pt>
                <c:pt idx="1">
                  <c:v>B</c:v>
                </c:pt>
                <c:pt idx="2">
                  <c:v>C</c:v>
                </c:pt>
                <c:pt idx="3">
                  <c:v>D</c:v>
                </c:pt>
              </c:strCache>
            </c:strRef>
          </c:cat>
          <c:val>
            <c:numRef>
              <c:f>Contrôle_Qualité!$F$4:$F$7</c:f>
              <c:numCache>
                <c:formatCode>General</c:formatCode>
                <c:ptCount val="4"/>
                <c:pt idx="0">
                  <c:v>50</c:v>
                </c:pt>
                <c:pt idx="1">
                  <c:v>51</c:v>
                </c:pt>
                <c:pt idx="2">
                  <c:v>51</c:v>
                </c:pt>
                <c:pt idx="3">
                  <c:v>52</c:v>
                </c:pt>
              </c:numCache>
            </c:numRef>
          </c:val>
          <c:extLst>
            <c:ext xmlns:c16="http://schemas.microsoft.com/office/drawing/2014/chart" uri="{C3380CC4-5D6E-409C-BE32-E72D297353CC}">
              <c16:uniqueId val="{00000000-783F-4E69-A3D9-99536944CCC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queCarteResident" displayName="BanqueCarteResident" ref="A1:W205">
  <tableColumns count="23">
    <tableColumn id="1" xr3:uid="{00000000-0010-0000-0000-000001000000}" name="ID"/>
    <tableColumn id="2" xr3:uid="{00000000-0010-0000-0000-000002000000}" name="Examen"/>
    <tableColumn id="3" xr3:uid="{00000000-0010-0000-0000-000003000000}" name="N° thématique"/>
    <tableColumn id="4" xr3:uid="{00000000-0010-0000-0000-000004000000}" name="ID_Thématique"/>
    <tableColumn id="5" xr3:uid="{00000000-0010-0000-0000-000005000000}" name="ID_Chapitre"/>
    <tableColumn id="6" xr3:uid="{00000000-0010-0000-0000-000006000000}" name="Question"/>
    <tableColumn id="7" xr3:uid="{00000000-0010-0000-0000-000007000000}" name="Réponse A"/>
    <tableColumn id="8" xr3:uid="{00000000-0010-0000-0000-000008000000}" name="Réponse B"/>
    <tableColumn id="9" xr3:uid="{00000000-0010-0000-0000-000009000000}" name="Réponse C"/>
    <tableColumn id="10" xr3:uid="{00000000-0010-0000-0000-00000A000000}" name="Réponse D"/>
    <tableColumn id="11" xr3:uid="{00000000-0010-0000-0000-00000B000000}" name="Bonne réponse"/>
    <tableColumn id="12" xr3:uid="{00000000-0010-0000-0000-00000C000000}" name="Explication pédagogique"/>
    <tableColumn id="13" xr3:uid="{00000000-0010-0000-0000-00000D000000}" name="Astuce mémoire"/>
    <tableColumn id="14" xr3:uid="{00000000-0010-0000-0000-00000E000000}" name="Difficulté"/>
    <tableColumn id="15" xr3:uid="{00000000-0010-0000-0000-00000F000000}" name="Compétence"/>
    <tableColumn id="16" xr3:uid="{00000000-0010-0000-0000-000010000000}" name="Mots-clés"/>
    <tableColumn id="17" xr3:uid="{00000000-0010-0000-0000-000011000000}" name="Ressources à revoir"/>
    <tableColumn id="18" xr3:uid="{00000000-0010-0000-0000-000012000000}" name="Diagnostic"/>
    <tableColumn id="19" xr3:uid="{00000000-0010-0000-0000-000013000000}" name="Révision"/>
    <tableColumn id="20" xr3:uid="{00000000-0010-0000-0000-000014000000}" name="Examen blanc"/>
    <tableColumn id="21" xr3:uid="{00000000-0010-0000-0000-000015000000}" name="Statut"/>
    <tableColumn id="22" xr3:uid="{00000000-0010-0000-0000-000016000000}" name="Fichier source"/>
    <tableColumn id="23" xr3:uid="{00000000-0010-0000-0000-000017000000}" name="Origine des distracteu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BanqueCRChatbot" displayName="TableBanqueCRChatbot" ref="A1:Y205">
  <tableColumns count="25">
    <tableColumn id="1" xr3:uid="{00000000-0010-0000-0100-000001000000}" name="ID_QUESTION"/>
    <tableColumn id="2" xr3:uid="{00000000-0010-0000-0100-000002000000}" name="TYPE_EXAMEN"/>
    <tableColumn id="3" xr3:uid="{00000000-0010-0000-0100-000003000000}" name="ORDRE_THEME"/>
    <tableColumn id="4" xr3:uid="{00000000-0010-0000-0100-000004000000}" name="ID_THEME"/>
    <tableColumn id="5" xr3:uid="{00000000-0010-0000-0100-000005000000}" name="TITRE_THEME"/>
    <tableColumn id="6" xr3:uid="{00000000-0010-0000-0100-000006000000}" name="ID_CHAPITRE"/>
    <tableColumn id="7" xr3:uid="{00000000-0010-0000-0100-000007000000}" name="TITRE_CHAPITRE"/>
    <tableColumn id="8" xr3:uid="{00000000-0010-0000-0100-000008000000}" name="QUESTION"/>
    <tableColumn id="9" xr3:uid="{00000000-0010-0000-0100-000009000000}" name="REPONSE_A"/>
    <tableColumn id="10" xr3:uid="{00000000-0010-0000-0100-00000A000000}" name="REPONSE_B"/>
    <tableColumn id="11" xr3:uid="{00000000-0010-0000-0100-00000B000000}" name="REPONSE_C"/>
    <tableColumn id="12" xr3:uid="{00000000-0010-0000-0100-00000C000000}" name="REPONSE_D"/>
    <tableColumn id="13" xr3:uid="{00000000-0010-0000-0100-00000D000000}" name="BONNE_REPONSE"/>
    <tableColumn id="14" xr3:uid="{00000000-0010-0000-0100-00000E000000}" name="EXPLICATION_PEDAGOGIQUE"/>
    <tableColumn id="15" xr3:uid="{00000000-0010-0000-0100-00000F000000}" name="ASTUCE_MEMOIRE"/>
    <tableColumn id="16" xr3:uid="{00000000-0010-0000-0100-000010000000}" name="DIFFICULTE"/>
    <tableColumn id="17" xr3:uid="{00000000-0010-0000-0100-000011000000}" name="COMPETENCE"/>
    <tableColumn id="18" xr3:uid="{00000000-0010-0000-0100-000012000000}" name="MOTS_CLES"/>
    <tableColumn id="19" xr3:uid="{00000000-0010-0000-0100-000013000000}" name="RESSOURCES_A_REVOIR"/>
    <tableColumn id="20" xr3:uid="{00000000-0010-0000-0100-000014000000}" name="DIAGNOSTIC"/>
    <tableColumn id="21" xr3:uid="{00000000-0010-0000-0100-000015000000}" name="REVISION"/>
    <tableColumn id="22" xr3:uid="{00000000-0010-0000-0100-000016000000}" name="EXAMEN_BLANC"/>
    <tableColumn id="23" xr3:uid="{00000000-0010-0000-0100-000017000000}" name="ACTIF"/>
    <tableColumn id="24" xr3:uid="{00000000-0010-0000-0100-000018000000}" name="FICHIER_SOURCE"/>
    <tableColumn id="25" xr3:uid="{00000000-0010-0000-0100-000019000000}" name="ORIGINE_DISTRACTEU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5"/>
  <sheetViews>
    <sheetView workbookViewId="0"/>
  </sheetViews>
  <sheetFormatPr baseColWidth="10" defaultColWidth="8.796875" defaultRowHeight="13.8"/>
  <cols>
    <col min="1" max="1" width="14" customWidth="1"/>
    <col min="2" max="2" width="8" customWidth="1"/>
    <col min="3" max="3" width="12" customWidth="1"/>
    <col min="4" max="4" width="34" customWidth="1"/>
    <col min="5" max="5" width="32" customWidth="1"/>
    <col min="6" max="6" width="42" customWidth="1"/>
    <col min="7" max="10" width="34" customWidth="1"/>
    <col min="11" max="11" width="12" customWidth="1"/>
    <col min="12" max="12" width="46" customWidth="1"/>
    <col min="13" max="13" width="41.3984375" customWidth="1"/>
    <col min="14" max="14" width="18" customWidth="1"/>
    <col min="15" max="15" width="38" customWidth="1"/>
    <col min="16" max="16" width="30" customWidth="1"/>
    <col min="17" max="17" width="40" customWidth="1"/>
    <col min="18" max="19" width="12" customWidth="1"/>
    <col min="20" max="21" width="14" customWidth="1"/>
    <col min="22" max="22" width="30" customWidth="1"/>
    <col min="23" max="23" width="38" customWidth="1"/>
  </cols>
  <sheetData>
    <row r="1" spans="1:23" ht="21.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41.4">
      <c r="A2" s="2" t="s">
        <v>23</v>
      </c>
      <c r="B2" s="2" t="s">
        <v>24</v>
      </c>
      <c r="C2" s="2">
        <v>1</v>
      </c>
      <c r="D2" s="2" t="s">
        <v>25</v>
      </c>
      <c r="E2" s="2" t="s">
        <v>26</v>
      </c>
      <c r="F2" s="2" t="s">
        <v>27</v>
      </c>
      <c r="G2" s="2" t="s">
        <v>28</v>
      </c>
      <c r="H2" s="2" t="s">
        <v>29</v>
      </c>
      <c r="I2" s="2" t="s">
        <v>30</v>
      </c>
      <c r="J2" s="2" t="s">
        <v>31</v>
      </c>
      <c r="K2" s="2" t="s">
        <v>32</v>
      </c>
      <c r="L2" s="2" t="s">
        <v>33</v>
      </c>
      <c r="M2" s="2" t="s">
        <v>34</v>
      </c>
      <c r="N2" s="2" t="s">
        <v>35</v>
      </c>
      <c r="O2" s="2" t="s">
        <v>36</v>
      </c>
      <c r="P2" s="2" t="s">
        <v>37</v>
      </c>
      <c r="Q2" s="2" t="s">
        <v>38</v>
      </c>
      <c r="R2" s="2" t="s">
        <v>39</v>
      </c>
      <c r="S2" s="2" t="s">
        <v>39</v>
      </c>
      <c r="T2" s="2" t="s">
        <v>39</v>
      </c>
      <c r="U2" s="2" t="s">
        <v>40</v>
      </c>
      <c r="V2" s="2" t="s">
        <v>41</v>
      </c>
      <c r="W2" s="2" t="s">
        <v>42</v>
      </c>
    </row>
    <row r="3" spans="1:23" ht="41.4">
      <c r="A3" s="2" t="s">
        <v>43</v>
      </c>
      <c r="B3" s="2" t="s">
        <v>24</v>
      </c>
      <c r="C3" s="2">
        <v>1</v>
      </c>
      <c r="D3" s="2" t="s">
        <v>25</v>
      </c>
      <c r="E3" s="2" t="s">
        <v>44</v>
      </c>
      <c r="F3" s="2" t="s">
        <v>45</v>
      </c>
      <c r="G3" s="2" t="s">
        <v>46</v>
      </c>
      <c r="H3" s="2" t="s">
        <v>47</v>
      </c>
      <c r="I3" s="2" t="s">
        <v>48</v>
      </c>
      <c r="J3" s="2" t="s">
        <v>49</v>
      </c>
      <c r="K3" s="2" t="s">
        <v>32</v>
      </c>
      <c r="L3" s="2" t="s">
        <v>50</v>
      </c>
      <c r="M3" s="2" t="s">
        <v>51</v>
      </c>
      <c r="N3" s="2" t="s">
        <v>35</v>
      </c>
      <c r="O3" s="2" t="s">
        <v>52</v>
      </c>
      <c r="P3" s="2" t="s">
        <v>53</v>
      </c>
      <c r="Q3" s="2" t="s">
        <v>54</v>
      </c>
      <c r="R3" s="2" t="s">
        <v>39</v>
      </c>
      <c r="S3" s="2" t="s">
        <v>39</v>
      </c>
      <c r="T3" s="2" t="s">
        <v>39</v>
      </c>
      <c r="U3" s="2" t="s">
        <v>40</v>
      </c>
      <c r="V3" s="2" t="s">
        <v>41</v>
      </c>
      <c r="W3" s="2" t="s">
        <v>55</v>
      </c>
    </row>
    <row r="4" spans="1:23" ht="55.2">
      <c r="A4" s="2" t="s">
        <v>56</v>
      </c>
      <c r="B4" s="2" t="s">
        <v>24</v>
      </c>
      <c r="C4" s="2">
        <v>1</v>
      </c>
      <c r="D4" s="2" t="s">
        <v>25</v>
      </c>
      <c r="E4" s="2"/>
      <c r="F4" s="2" t="s">
        <v>57</v>
      </c>
      <c r="G4" s="2" t="s">
        <v>58</v>
      </c>
      <c r="H4" s="2" t="s">
        <v>59</v>
      </c>
      <c r="I4" s="2" t="s">
        <v>60</v>
      </c>
      <c r="J4" s="2" t="s">
        <v>61</v>
      </c>
      <c r="K4" s="2" t="s">
        <v>62</v>
      </c>
      <c r="L4" s="2" t="s">
        <v>63</v>
      </c>
      <c r="M4" s="2" t="s">
        <v>64</v>
      </c>
      <c r="N4" s="2" t="s">
        <v>65</v>
      </c>
      <c r="O4" s="2" t="s">
        <v>66</v>
      </c>
      <c r="P4" s="2" t="s">
        <v>67</v>
      </c>
      <c r="Q4" s="2" t="s">
        <v>68</v>
      </c>
      <c r="R4" s="2" t="s">
        <v>39</v>
      </c>
      <c r="S4" s="2" t="s">
        <v>39</v>
      </c>
      <c r="T4" s="2" t="s">
        <v>39</v>
      </c>
      <c r="U4" s="2" t="s">
        <v>40</v>
      </c>
      <c r="V4" s="2" t="s">
        <v>41</v>
      </c>
      <c r="W4" s="2" t="s">
        <v>55</v>
      </c>
    </row>
    <row r="5" spans="1:23" ht="41.4">
      <c r="A5" s="2" t="s">
        <v>69</v>
      </c>
      <c r="B5" s="2" t="s">
        <v>24</v>
      </c>
      <c r="C5" s="2">
        <v>1</v>
      </c>
      <c r="D5" s="2" t="s">
        <v>25</v>
      </c>
      <c r="E5" s="2" t="s">
        <v>70</v>
      </c>
      <c r="F5" s="2" t="s">
        <v>71</v>
      </c>
      <c r="G5" s="2" t="s">
        <v>72</v>
      </c>
      <c r="H5" s="2" t="s">
        <v>73</v>
      </c>
      <c r="I5" s="2" t="s">
        <v>74</v>
      </c>
      <c r="J5" s="2" t="s">
        <v>75</v>
      </c>
      <c r="K5" s="2" t="s">
        <v>76</v>
      </c>
      <c r="L5" s="2" t="s">
        <v>77</v>
      </c>
      <c r="M5" s="2" t="s">
        <v>78</v>
      </c>
      <c r="N5" s="2" t="s">
        <v>65</v>
      </c>
      <c r="O5" s="2" t="s">
        <v>52</v>
      </c>
      <c r="P5" s="2" t="s">
        <v>79</v>
      </c>
      <c r="Q5" s="2" t="s">
        <v>80</v>
      </c>
      <c r="R5" s="2" t="s">
        <v>39</v>
      </c>
      <c r="S5" s="2" t="s">
        <v>39</v>
      </c>
      <c r="T5" s="2" t="s">
        <v>39</v>
      </c>
      <c r="U5" s="2" t="s">
        <v>40</v>
      </c>
      <c r="V5" s="2" t="s">
        <v>41</v>
      </c>
      <c r="W5" s="2" t="s">
        <v>42</v>
      </c>
    </row>
    <row r="6" spans="1:23" ht="55.2">
      <c r="A6" s="2" t="s">
        <v>81</v>
      </c>
      <c r="B6" s="2" t="s">
        <v>24</v>
      </c>
      <c r="C6" s="2">
        <v>1</v>
      </c>
      <c r="D6" s="2" t="s">
        <v>25</v>
      </c>
      <c r="E6" s="2" t="s">
        <v>82</v>
      </c>
      <c r="F6" s="2" t="s">
        <v>83</v>
      </c>
      <c r="G6" s="2" t="s">
        <v>84</v>
      </c>
      <c r="H6" s="2" t="s">
        <v>85</v>
      </c>
      <c r="I6" s="2" t="s">
        <v>86</v>
      </c>
      <c r="J6" s="2" t="s">
        <v>87</v>
      </c>
      <c r="K6" s="2" t="s">
        <v>88</v>
      </c>
      <c r="L6" s="2" t="s">
        <v>89</v>
      </c>
      <c r="M6" s="2" t="s">
        <v>90</v>
      </c>
      <c r="N6" s="2" t="s">
        <v>65</v>
      </c>
      <c r="O6" s="2" t="s">
        <v>91</v>
      </c>
      <c r="P6" s="2" t="s">
        <v>92</v>
      </c>
      <c r="Q6" s="2" t="s">
        <v>93</v>
      </c>
      <c r="R6" s="2" t="s">
        <v>39</v>
      </c>
      <c r="S6" s="2" t="s">
        <v>39</v>
      </c>
      <c r="T6" s="2" t="s">
        <v>39</v>
      </c>
      <c r="U6" s="2" t="s">
        <v>40</v>
      </c>
      <c r="V6" s="2" t="s">
        <v>41</v>
      </c>
      <c r="W6" s="2" t="s">
        <v>55</v>
      </c>
    </row>
    <row r="7" spans="1:23" ht="41.4">
      <c r="A7" s="2" t="s">
        <v>94</v>
      </c>
      <c r="B7" s="2" t="s">
        <v>24</v>
      </c>
      <c r="C7" s="2">
        <v>1</v>
      </c>
      <c r="D7" s="2" t="s">
        <v>25</v>
      </c>
      <c r="E7" s="2" t="s">
        <v>82</v>
      </c>
      <c r="F7" s="2" t="s">
        <v>95</v>
      </c>
      <c r="G7" s="2" t="s">
        <v>96</v>
      </c>
      <c r="H7" s="2" t="s">
        <v>97</v>
      </c>
      <c r="I7" s="2" t="s">
        <v>98</v>
      </c>
      <c r="J7" s="2" t="s">
        <v>99</v>
      </c>
      <c r="K7" s="2" t="s">
        <v>62</v>
      </c>
      <c r="L7" s="2" t="s">
        <v>100</v>
      </c>
      <c r="M7" s="2" t="s">
        <v>101</v>
      </c>
      <c r="N7" s="2" t="s">
        <v>65</v>
      </c>
      <c r="O7" s="2" t="s">
        <v>102</v>
      </c>
      <c r="P7" s="2" t="s">
        <v>103</v>
      </c>
      <c r="Q7" s="2" t="s">
        <v>104</v>
      </c>
      <c r="R7" s="2" t="s">
        <v>39</v>
      </c>
      <c r="S7" s="2" t="s">
        <v>39</v>
      </c>
      <c r="T7" s="2" t="s">
        <v>39</v>
      </c>
      <c r="U7" s="2" t="s">
        <v>40</v>
      </c>
      <c r="V7" s="2" t="s">
        <v>41</v>
      </c>
      <c r="W7" s="2" t="s">
        <v>55</v>
      </c>
    </row>
    <row r="8" spans="1:23" ht="27.6">
      <c r="A8" s="2" t="s">
        <v>105</v>
      </c>
      <c r="B8" s="2" t="s">
        <v>24</v>
      </c>
      <c r="C8" s="2">
        <v>1</v>
      </c>
      <c r="D8" s="2" t="s">
        <v>25</v>
      </c>
      <c r="E8" s="2" t="s">
        <v>82</v>
      </c>
      <c r="F8" s="2" t="s">
        <v>106</v>
      </c>
      <c r="G8" s="2" t="s">
        <v>107</v>
      </c>
      <c r="H8" s="2" t="s">
        <v>48</v>
      </c>
      <c r="I8" s="2" t="s">
        <v>61</v>
      </c>
      <c r="J8" s="2" t="s">
        <v>73</v>
      </c>
      <c r="K8" s="2" t="s">
        <v>88</v>
      </c>
      <c r="L8" s="2" t="s">
        <v>108</v>
      </c>
      <c r="M8" s="2" t="s">
        <v>109</v>
      </c>
      <c r="N8" s="2" t="s">
        <v>65</v>
      </c>
      <c r="O8" s="2" t="s">
        <v>102</v>
      </c>
      <c r="P8" s="2" t="s">
        <v>110</v>
      </c>
      <c r="Q8" s="2" t="s">
        <v>104</v>
      </c>
      <c r="R8" s="2" t="s">
        <v>39</v>
      </c>
      <c r="S8" s="2" t="s">
        <v>39</v>
      </c>
      <c r="T8" s="2" t="s">
        <v>39</v>
      </c>
      <c r="U8" s="2" t="s">
        <v>40</v>
      </c>
      <c r="V8" s="2" t="s">
        <v>41</v>
      </c>
      <c r="W8" s="2" t="s">
        <v>111</v>
      </c>
    </row>
    <row r="9" spans="1:23" ht="41.4">
      <c r="A9" s="2" t="s">
        <v>112</v>
      </c>
      <c r="B9" s="2" t="s">
        <v>24</v>
      </c>
      <c r="C9" s="2">
        <v>1</v>
      </c>
      <c r="D9" s="2" t="s">
        <v>25</v>
      </c>
      <c r="E9" s="2" t="s">
        <v>113</v>
      </c>
      <c r="F9" s="2" t="s">
        <v>114</v>
      </c>
      <c r="G9" s="2" t="s">
        <v>115</v>
      </c>
      <c r="H9" s="2" t="s">
        <v>116</v>
      </c>
      <c r="I9" s="2" t="s">
        <v>117</v>
      </c>
      <c r="J9" s="2" t="s">
        <v>118</v>
      </c>
      <c r="K9" s="2" t="s">
        <v>62</v>
      </c>
      <c r="L9" s="2" t="s">
        <v>119</v>
      </c>
      <c r="M9" s="2" t="s">
        <v>120</v>
      </c>
      <c r="N9" s="2" t="s">
        <v>65</v>
      </c>
      <c r="O9" s="2" t="s">
        <v>121</v>
      </c>
      <c r="P9" s="2" t="s">
        <v>122</v>
      </c>
      <c r="Q9" s="2" t="s">
        <v>123</v>
      </c>
      <c r="R9" s="2" t="s">
        <v>39</v>
      </c>
      <c r="S9" s="2" t="s">
        <v>39</v>
      </c>
      <c r="T9" s="2" t="s">
        <v>39</v>
      </c>
      <c r="U9" s="2" t="s">
        <v>40</v>
      </c>
      <c r="V9" s="2" t="s">
        <v>41</v>
      </c>
      <c r="W9" s="2" t="s">
        <v>42</v>
      </c>
    </row>
    <row r="10" spans="1:23" ht="41.4">
      <c r="A10" s="2" t="s">
        <v>124</v>
      </c>
      <c r="B10" s="2" t="s">
        <v>24</v>
      </c>
      <c r="C10" s="2">
        <v>1</v>
      </c>
      <c r="D10" s="2" t="s">
        <v>25</v>
      </c>
      <c r="E10" s="2" t="s">
        <v>113</v>
      </c>
      <c r="F10" s="2" t="s">
        <v>125</v>
      </c>
      <c r="G10" s="2" t="s">
        <v>126</v>
      </c>
      <c r="H10" s="2" t="s">
        <v>127</v>
      </c>
      <c r="I10" s="2" t="s">
        <v>128</v>
      </c>
      <c r="J10" s="2" t="s">
        <v>129</v>
      </c>
      <c r="K10" s="2" t="s">
        <v>88</v>
      </c>
      <c r="L10" s="2" t="s">
        <v>130</v>
      </c>
      <c r="M10" s="2" t="s">
        <v>120</v>
      </c>
      <c r="N10" s="2" t="s">
        <v>65</v>
      </c>
      <c r="O10" s="2" t="s">
        <v>131</v>
      </c>
      <c r="P10" s="2" t="s">
        <v>122</v>
      </c>
      <c r="Q10" s="2" t="s">
        <v>132</v>
      </c>
      <c r="R10" s="2" t="s">
        <v>39</v>
      </c>
      <c r="S10" s="2" t="s">
        <v>39</v>
      </c>
      <c r="T10" s="2" t="s">
        <v>39</v>
      </c>
      <c r="U10" s="2" t="s">
        <v>40</v>
      </c>
      <c r="V10" s="2" t="s">
        <v>41</v>
      </c>
      <c r="W10" s="2" t="s">
        <v>42</v>
      </c>
    </row>
    <row r="11" spans="1:23" ht="41.4">
      <c r="A11" s="2" t="s">
        <v>133</v>
      </c>
      <c r="B11" s="2" t="s">
        <v>24</v>
      </c>
      <c r="C11" s="2">
        <v>1</v>
      </c>
      <c r="D11" s="2" t="s">
        <v>25</v>
      </c>
      <c r="E11" s="2" t="s">
        <v>70</v>
      </c>
      <c r="F11" s="2" t="s">
        <v>134</v>
      </c>
      <c r="G11" s="2" t="s">
        <v>135</v>
      </c>
      <c r="H11" s="2" t="s">
        <v>136</v>
      </c>
      <c r="I11" s="2" t="s">
        <v>137</v>
      </c>
      <c r="J11" s="2" t="s">
        <v>138</v>
      </c>
      <c r="K11" s="2" t="s">
        <v>62</v>
      </c>
      <c r="L11" s="2" t="s">
        <v>139</v>
      </c>
      <c r="M11" s="2" t="s">
        <v>140</v>
      </c>
      <c r="N11" s="2" t="s">
        <v>65</v>
      </c>
      <c r="O11" s="2" t="s">
        <v>141</v>
      </c>
      <c r="P11" s="2" t="s">
        <v>142</v>
      </c>
      <c r="Q11" s="2" t="s">
        <v>143</v>
      </c>
      <c r="R11" s="2" t="s">
        <v>39</v>
      </c>
      <c r="S11" s="2" t="s">
        <v>39</v>
      </c>
      <c r="T11" s="2" t="s">
        <v>39</v>
      </c>
      <c r="U11" s="2" t="s">
        <v>40</v>
      </c>
      <c r="V11" s="2" t="s">
        <v>41</v>
      </c>
      <c r="W11" s="2" t="s">
        <v>55</v>
      </c>
    </row>
    <row r="12" spans="1:23" ht="41.4">
      <c r="A12" s="2" t="s">
        <v>144</v>
      </c>
      <c r="B12" s="2" t="s">
        <v>24</v>
      </c>
      <c r="C12" s="2">
        <v>1</v>
      </c>
      <c r="D12" s="2" t="s">
        <v>25</v>
      </c>
      <c r="E12" s="2" t="s">
        <v>82</v>
      </c>
      <c r="F12" s="2" t="s">
        <v>145</v>
      </c>
      <c r="G12" s="2" t="s">
        <v>146</v>
      </c>
      <c r="H12" s="2" t="s">
        <v>147</v>
      </c>
      <c r="I12" s="2" t="s">
        <v>148</v>
      </c>
      <c r="J12" s="2" t="s">
        <v>149</v>
      </c>
      <c r="K12" s="2" t="s">
        <v>32</v>
      </c>
      <c r="L12" s="2" t="s">
        <v>150</v>
      </c>
      <c r="M12" s="2" t="s">
        <v>151</v>
      </c>
      <c r="N12" s="2" t="s">
        <v>65</v>
      </c>
      <c r="O12" s="2" t="s">
        <v>102</v>
      </c>
      <c r="P12" s="2" t="s">
        <v>152</v>
      </c>
      <c r="Q12" s="2" t="s">
        <v>153</v>
      </c>
      <c r="R12" s="2" t="s">
        <v>39</v>
      </c>
      <c r="S12" s="2" t="s">
        <v>39</v>
      </c>
      <c r="T12" s="2" t="s">
        <v>39</v>
      </c>
      <c r="U12" s="2" t="s">
        <v>40</v>
      </c>
      <c r="V12" s="2" t="s">
        <v>41</v>
      </c>
      <c r="W12" s="2" t="s">
        <v>55</v>
      </c>
    </row>
    <row r="13" spans="1:23" ht="41.4">
      <c r="A13" s="2" t="s">
        <v>154</v>
      </c>
      <c r="B13" s="2" t="s">
        <v>24</v>
      </c>
      <c r="C13" s="2">
        <v>1</v>
      </c>
      <c r="D13" s="2" t="s">
        <v>25</v>
      </c>
      <c r="E13" s="2" t="s">
        <v>70</v>
      </c>
      <c r="F13" s="2" t="s">
        <v>155</v>
      </c>
      <c r="G13" s="2" t="s">
        <v>156</v>
      </c>
      <c r="H13" s="2" t="s">
        <v>157</v>
      </c>
      <c r="I13" s="2" t="s">
        <v>158</v>
      </c>
      <c r="J13" s="2" t="s">
        <v>159</v>
      </c>
      <c r="K13" s="2" t="s">
        <v>76</v>
      </c>
      <c r="L13" s="2" t="s">
        <v>160</v>
      </c>
      <c r="M13" s="2" t="s">
        <v>161</v>
      </c>
      <c r="N13" s="2" t="s">
        <v>35</v>
      </c>
      <c r="O13" s="2" t="s">
        <v>162</v>
      </c>
      <c r="P13" s="2" t="s">
        <v>163</v>
      </c>
      <c r="Q13" s="2" t="s">
        <v>164</v>
      </c>
      <c r="R13" s="2" t="s">
        <v>39</v>
      </c>
      <c r="S13" s="2" t="s">
        <v>39</v>
      </c>
      <c r="T13" s="2" t="s">
        <v>39</v>
      </c>
      <c r="U13" s="2" t="s">
        <v>40</v>
      </c>
      <c r="V13" s="2" t="s">
        <v>41</v>
      </c>
      <c r="W13" s="2" t="s">
        <v>42</v>
      </c>
    </row>
    <row r="14" spans="1:23" ht="41.4">
      <c r="A14" s="2" t="s">
        <v>165</v>
      </c>
      <c r="B14" s="2" t="s">
        <v>24</v>
      </c>
      <c r="C14" s="2">
        <v>1</v>
      </c>
      <c r="D14" s="2" t="s">
        <v>25</v>
      </c>
      <c r="E14" s="2" t="s">
        <v>26</v>
      </c>
      <c r="F14" s="2" t="s">
        <v>166</v>
      </c>
      <c r="G14" s="2" t="s">
        <v>167</v>
      </c>
      <c r="H14" s="2" t="s">
        <v>168</v>
      </c>
      <c r="I14" s="2" t="s">
        <v>169</v>
      </c>
      <c r="J14" s="2" t="s">
        <v>170</v>
      </c>
      <c r="K14" s="2" t="s">
        <v>62</v>
      </c>
      <c r="L14" s="2" t="s">
        <v>171</v>
      </c>
      <c r="M14" s="2" t="s">
        <v>172</v>
      </c>
      <c r="N14" s="2" t="s">
        <v>65</v>
      </c>
      <c r="O14" s="2" t="s">
        <v>173</v>
      </c>
      <c r="P14" s="2" t="s">
        <v>174</v>
      </c>
      <c r="Q14" s="2" t="s">
        <v>175</v>
      </c>
      <c r="R14" s="2" t="s">
        <v>39</v>
      </c>
      <c r="S14" s="2" t="s">
        <v>39</v>
      </c>
      <c r="T14" s="2" t="s">
        <v>39</v>
      </c>
      <c r="U14" s="2" t="s">
        <v>40</v>
      </c>
      <c r="V14" s="2" t="s">
        <v>41</v>
      </c>
      <c r="W14" s="2" t="s">
        <v>42</v>
      </c>
    </row>
    <row r="15" spans="1:23" ht="41.4">
      <c r="A15" s="2" t="s">
        <v>176</v>
      </c>
      <c r="B15" s="2" t="s">
        <v>24</v>
      </c>
      <c r="C15" s="2">
        <v>1</v>
      </c>
      <c r="D15" s="2" t="s">
        <v>25</v>
      </c>
      <c r="E15" s="2" t="s">
        <v>82</v>
      </c>
      <c r="F15" s="2" t="s">
        <v>177</v>
      </c>
      <c r="G15" s="2" t="s">
        <v>135</v>
      </c>
      <c r="H15" s="2" t="s">
        <v>178</v>
      </c>
      <c r="I15" s="2" t="s">
        <v>138</v>
      </c>
      <c r="J15" s="2" t="s">
        <v>137</v>
      </c>
      <c r="K15" s="2" t="s">
        <v>32</v>
      </c>
      <c r="L15" s="2" t="s">
        <v>179</v>
      </c>
      <c r="M15" s="2" t="s">
        <v>180</v>
      </c>
      <c r="N15" s="2" t="s">
        <v>65</v>
      </c>
      <c r="O15" s="2" t="s">
        <v>102</v>
      </c>
      <c r="P15" s="2" t="s">
        <v>181</v>
      </c>
      <c r="Q15" s="2" t="s">
        <v>182</v>
      </c>
      <c r="R15" s="2" t="s">
        <v>39</v>
      </c>
      <c r="S15" s="2" t="s">
        <v>39</v>
      </c>
      <c r="T15" s="2" t="s">
        <v>39</v>
      </c>
      <c r="U15" s="2" t="s">
        <v>40</v>
      </c>
      <c r="V15" s="2" t="s">
        <v>41</v>
      </c>
      <c r="W15" s="2" t="s">
        <v>55</v>
      </c>
    </row>
    <row r="16" spans="1:23" ht="41.4">
      <c r="A16" s="2" t="s">
        <v>183</v>
      </c>
      <c r="B16" s="2" t="s">
        <v>24</v>
      </c>
      <c r="C16" s="2">
        <v>1</v>
      </c>
      <c r="D16" s="2" t="s">
        <v>25</v>
      </c>
      <c r="E16" s="2" t="s">
        <v>70</v>
      </c>
      <c r="F16" s="2" t="s">
        <v>184</v>
      </c>
      <c r="G16" s="2" t="s">
        <v>185</v>
      </c>
      <c r="H16" s="2" t="s">
        <v>186</v>
      </c>
      <c r="I16" s="2" t="s">
        <v>187</v>
      </c>
      <c r="J16" s="2" t="s">
        <v>188</v>
      </c>
      <c r="K16" s="2" t="s">
        <v>32</v>
      </c>
      <c r="L16" s="2" t="s">
        <v>189</v>
      </c>
      <c r="M16" s="2" t="s">
        <v>190</v>
      </c>
      <c r="N16" s="2" t="s">
        <v>191</v>
      </c>
      <c r="O16" s="2" t="s">
        <v>192</v>
      </c>
      <c r="P16" s="2" t="s">
        <v>193</v>
      </c>
      <c r="Q16" s="2" t="s">
        <v>194</v>
      </c>
      <c r="R16" s="2" t="s">
        <v>39</v>
      </c>
      <c r="S16" s="2" t="s">
        <v>39</v>
      </c>
      <c r="T16" s="2" t="s">
        <v>39</v>
      </c>
      <c r="U16" s="2" t="s">
        <v>40</v>
      </c>
      <c r="V16" s="2" t="s">
        <v>41</v>
      </c>
      <c r="W16" s="2" t="s">
        <v>55</v>
      </c>
    </row>
    <row r="17" spans="1:23" ht="55.2">
      <c r="A17" s="2" t="s">
        <v>195</v>
      </c>
      <c r="B17" s="2" t="s">
        <v>24</v>
      </c>
      <c r="C17" s="2">
        <v>1</v>
      </c>
      <c r="D17" s="2" t="s">
        <v>25</v>
      </c>
      <c r="E17" s="2" t="s">
        <v>82</v>
      </c>
      <c r="F17" s="2" t="s">
        <v>196</v>
      </c>
      <c r="G17" s="2" t="s">
        <v>197</v>
      </c>
      <c r="H17" s="2" t="s">
        <v>198</v>
      </c>
      <c r="I17" s="2" t="s">
        <v>199</v>
      </c>
      <c r="J17" s="2" t="s">
        <v>200</v>
      </c>
      <c r="K17" s="2" t="s">
        <v>76</v>
      </c>
      <c r="L17" s="2" t="s">
        <v>201</v>
      </c>
      <c r="M17" s="2" t="s">
        <v>202</v>
      </c>
      <c r="N17" s="2" t="s">
        <v>191</v>
      </c>
      <c r="O17" s="2" t="s">
        <v>102</v>
      </c>
      <c r="P17" s="2" t="s">
        <v>203</v>
      </c>
      <c r="Q17" s="2" t="s">
        <v>204</v>
      </c>
      <c r="R17" s="2" t="s">
        <v>39</v>
      </c>
      <c r="S17" s="2" t="s">
        <v>39</v>
      </c>
      <c r="T17" s="2" t="s">
        <v>39</v>
      </c>
      <c r="U17" s="2" t="s">
        <v>40</v>
      </c>
      <c r="V17" s="2" t="s">
        <v>41</v>
      </c>
      <c r="W17" s="2" t="s">
        <v>55</v>
      </c>
    </row>
    <row r="18" spans="1:23" ht="41.4">
      <c r="A18" s="2" t="s">
        <v>205</v>
      </c>
      <c r="B18" s="2" t="s">
        <v>24</v>
      </c>
      <c r="C18" s="2">
        <v>1</v>
      </c>
      <c r="D18" s="2" t="s">
        <v>25</v>
      </c>
      <c r="E18" s="2" t="s">
        <v>26</v>
      </c>
      <c r="F18" s="2" t="s">
        <v>206</v>
      </c>
      <c r="G18" s="2" t="s">
        <v>207</v>
      </c>
      <c r="H18" s="2" t="s">
        <v>208</v>
      </c>
      <c r="I18" s="2" t="s">
        <v>209</v>
      </c>
      <c r="J18" s="2" t="s">
        <v>210</v>
      </c>
      <c r="K18" s="2" t="s">
        <v>32</v>
      </c>
      <c r="L18" s="2" t="s">
        <v>211</v>
      </c>
      <c r="M18" s="2" t="s">
        <v>212</v>
      </c>
      <c r="N18" s="2" t="s">
        <v>191</v>
      </c>
      <c r="O18" s="2" t="s">
        <v>213</v>
      </c>
      <c r="P18" s="2" t="s">
        <v>214</v>
      </c>
      <c r="Q18" s="2" t="s">
        <v>215</v>
      </c>
      <c r="R18" s="2" t="s">
        <v>39</v>
      </c>
      <c r="S18" s="2" t="s">
        <v>39</v>
      </c>
      <c r="T18" s="2" t="s">
        <v>39</v>
      </c>
      <c r="U18" s="2" t="s">
        <v>40</v>
      </c>
      <c r="V18" s="2" t="s">
        <v>41</v>
      </c>
      <c r="W18" s="2" t="s">
        <v>55</v>
      </c>
    </row>
    <row r="19" spans="1:23" ht="41.4">
      <c r="A19" s="2" t="s">
        <v>216</v>
      </c>
      <c r="B19" s="2" t="s">
        <v>24</v>
      </c>
      <c r="C19" s="2">
        <v>1</v>
      </c>
      <c r="D19" s="2" t="s">
        <v>25</v>
      </c>
      <c r="E19" s="2" t="s">
        <v>70</v>
      </c>
      <c r="F19" s="2" t="s">
        <v>217</v>
      </c>
      <c r="G19" s="2" t="s">
        <v>218</v>
      </c>
      <c r="H19" s="2" t="s">
        <v>219</v>
      </c>
      <c r="I19" s="2" t="s">
        <v>220</v>
      </c>
      <c r="J19" s="2" t="s">
        <v>221</v>
      </c>
      <c r="K19" s="2" t="s">
        <v>76</v>
      </c>
      <c r="L19" s="2" t="s">
        <v>222</v>
      </c>
      <c r="M19" s="2" t="s">
        <v>223</v>
      </c>
      <c r="N19" s="2" t="s">
        <v>191</v>
      </c>
      <c r="O19" s="2" t="s">
        <v>224</v>
      </c>
      <c r="P19" s="2" t="s">
        <v>225</v>
      </c>
      <c r="Q19" s="2" t="s">
        <v>226</v>
      </c>
      <c r="R19" s="2" t="s">
        <v>39</v>
      </c>
      <c r="S19" s="2" t="s">
        <v>39</v>
      </c>
      <c r="T19" s="2" t="s">
        <v>39</v>
      </c>
      <c r="U19" s="2" t="s">
        <v>40</v>
      </c>
      <c r="V19" s="2" t="s">
        <v>41</v>
      </c>
      <c r="W19" s="2" t="s">
        <v>55</v>
      </c>
    </row>
    <row r="20" spans="1:23" ht="41.4">
      <c r="A20" s="2" t="s">
        <v>227</v>
      </c>
      <c r="B20" s="2" t="s">
        <v>24</v>
      </c>
      <c r="C20" s="2">
        <v>1</v>
      </c>
      <c r="D20" s="2" t="s">
        <v>25</v>
      </c>
      <c r="E20" s="2" t="s">
        <v>82</v>
      </c>
      <c r="F20" s="2" t="s">
        <v>228</v>
      </c>
      <c r="G20" s="2" t="s">
        <v>229</v>
      </c>
      <c r="H20" s="2" t="s">
        <v>230</v>
      </c>
      <c r="I20" s="2" t="s">
        <v>231</v>
      </c>
      <c r="J20" s="2" t="s">
        <v>232</v>
      </c>
      <c r="K20" s="2" t="s">
        <v>88</v>
      </c>
      <c r="L20" s="2" t="s">
        <v>233</v>
      </c>
      <c r="M20" s="2" t="s">
        <v>234</v>
      </c>
      <c r="N20" s="2" t="s">
        <v>191</v>
      </c>
      <c r="O20" s="2" t="s">
        <v>102</v>
      </c>
      <c r="P20" s="2" t="s">
        <v>235</v>
      </c>
      <c r="Q20" s="2" t="s">
        <v>104</v>
      </c>
      <c r="R20" s="2" t="s">
        <v>39</v>
      </c>
      <c r="S20" s="2" t="s">
        <v>39</v>
      </c>
      <c r="T20" s="2" t="s">
        <v>39</v>
      </c>
      <c r="U20" s="2" t="s">
        <v>40</v>
      </c>
      <c r="V20" s="2" t="s">
        <v>41</v>
      </c>
      <c r="W20" s="2" t="s">
        <v>55</v>
      </c>
    </row>
    <row r="21" spans="1:23" ht="55.2">
      <c r="A21" s="2" t="s">
        <v>236</v>
      </c>
      <c r="B21" s="2" t="s">
        <v>24</v>
      </c>
      <c r="C21" s="2">
        <v>1</v>
      </c>
      <c r="D21" s="2" t="s">
        <v>25</v>
      </c>
      <c r="E21" s="2" t="s">
        <v>82</v>
      </c>
      <c r="F21" s="2" t="s">
        <v>237</v>
      </c>
      <c r="G21" s="2" t="s">
        <v>238</v>
      </c>
      <c r="H21" s="2" t="s">
        <v>239</v>
      </c>
      <c r="I21" s="2" t="s">
        <v>240</v>
      </c>
      <c r="J21" s="2" t="s">
        <v>241</v>
      </c>
      <c r="K21" s="2" t="s">
        <v>62</v>
      </c>
      <c r="L21" s="2" t="s">
        <v>242</v>
      </c>
      <c r="M21" s="2" t="s">
        <v>243</v>
      </c>
      <c r="N21" s="2" t="s">
        <v>191</v>
      </c>
      <c r="O21" s="2" t="s">
        <v>102</v>
      </c>
      <c r="P21" s="2" t="s">
        <v>244</v>
      </c>
      <c r="Q21" s="2" t="s">
        <v>204</v>
      </c>
      <c r="R21" s="2" t="s">
        <v>39</v>
      </c>
      <c r="S21" s="2" t="s">
        <v>39</v>
      </c>
      <c r="T21" s="2" t="s">
        <v>39</v>
      </c>
      <c r="U21" s="2" t="s">
        <v>40</v>
      </c>
      <c r="V21" s="2" t="s">
        <v>41</v>
      </c>
      <c r="W21" s="2" t="s">
        <v>42</v>
      </c>
    </row>
    <row r="22" spans="1:23" ht="41.4">
      <c r="A22" s="2" t="s">
        <v>245</v>
      </c>
      <c r="B22" s="2" t="s">
        <v>24</v>
      </c>
      <c r="C22" s="2">
        <v>1</v>
      </c>
      <c r="D22" s="2" t="s">
        <v>25</v>
      </c>
      <c r="E22" s="2" t="s">
        <v>70</v>
      </c>
      <c r="F22" s="2" t="s">
        <v>246</v>
      </c>
      <c r="G22" s="2" t="s">
        <v>247</v>
      </c>
      <c r="H22" s="2" t="s">
        <v>248</v>
      </c>
      <c r="I22" s="2" t="s">
        <v>249</v>
      </c>
      <c r="J22" s="2" t="s">
        <v>250</v>
      </c>
      <c r="K22" s="2" t="s">
        <v>62</v>
      </c>
      <c r="L22" s="2" t="s">
        <v>251</v>
      </c>
      <c r="M22" s="2" t="s">
        <v>252</v>
      </c>
      <c r="N22" s="2" t="s">
        <v>191</v>
      </c>
      <c r="O22" s="2" t="s">
        <v>192</v>
      </c>
      <c r="P22" s="2" t="s">
        <v>253</v>
      </c>
      <c r="Q22" s="2" t="s">
        <v>254</v>
      </c>
      <c r="R22" s="2" t="s">
        <v>39</v>
      </c>
      <c r="S22" s="2" t="s">
        <v>39</v>
      </c>
      <c r="T22" s="2" t="s">
        <v>39</v>
      </c>
      <c r="U22" s="2" t="s">
        <v>40</v>
      </c>
      <c r="V22" s="2" t="s">
        <v>41</v>
      </c>
      <c r="W22" s="2" t="s">
        <v>55</v>
      </c>
    </row>
    <row r="23" spans="1:23" ht="41.4">
      <c r="A23" s="2" t="s">
        <v>255</v>
      </c>
      <c r="B23" s="2" t="s">
        <v>24</v>
      </c>
      <c r="C23" s="2">
        <v>1</v>
      </c>
      <c r="D23" s="2" t="s">
        <v>25</v>
      </c>
      <c r="E23" s="2" t="s">
        <v>70</v>
      </c>
      <c r="F23" s="2" t="s">
        <v>256</v>
      </c>
      <c r="G23" s="2" t="s">
        <v>257</v>
      </c>
      <c r="H23" s="2" t="s">
        <v>258</v>
      </c>
      <c r="I23" s="2" t="s">
        <v>259</v>
      </c>
      <c r="J23" s="2" t="s">
        <v>260</v>
      </c>
      <c r="K23" s="2" t="s">
        <v>88</v>
      </c>
      <c r="L23" s="2" t="s">
        <v>261</v>
      </c>
      <c r="M23" s="2" t="s">
        <v>262</v>
      </c>
      <c r="N23" s="2" t="s">
        <v>191</v>
      </c>
      <c r="O23" s="2" t="s">
        <v>224</v>
      </c>
      <c r="P23" s="2" t="s">
        <v>263</v>
      </c>
      <c r="Q23" s="2" t="s">
        <v>264</v>
      </c>
      <c r="R23" s="2" t="s">
        <v>39</v>
      </c>
      <c r="S23" s="2" t="s">
        <v>39</v>
      </c>
      <c r="T23" s="2" t="s">
        <v>39</v>
      </c>
      <c r="U23" s="2" t="s">
        <v>40</v>
      </c>
      <c r="V23" s="2" t="s">
        <v>41</v>
      </c>
      <c r="W23" s="2" t="s">
        <v>55</v>
      </c>
    </row>
    <row r="24" spans="1:23" ht="27.6">
      <c r="A24" s="2" t="s">
        <v>265</v>
      </c>
      <c r="B24" s="2" t="s">
        <v>24</v>
      </c>
      <c r="C24" s="2">
        <v>1</v>
      </c>
      <c r="D24" s="2" t="s">
        <v>25</v>
      </c>
      <c r="E24" s="2" t="s">
        <v>266</v>
      </c>
      <c r="F24" s="2" t="s">
        <v>267</v>
      </c>
      <c r="G24" s="2" t="s">
        <v>268</v>
      </c>
      <c r="H24" s="2" t="s">
        <v>269</v>
      </c>
      <c r="I24" s="2" t="s">
        <v>270</v>
      </c>
      <c r="J24" s="2" t="s">
        <v>271</v>
      </c>
      <c r="K24" s="2" t="s">
        <v>76</v>
      </c>
      <c r="L24" s="2" t="s">
        <v>272</v>
      </c>
      <c r="M24" s="2" t="s">
        <v>273</v>
      </c>
      <c r="N24" s="2" t="s">
        <v>35</v>
      </c>
      <c r="O24" s="2" t="s">
        <v>274</v>
      </c>
      <c r="P24" s="2" t="s">
        <v>275</v>
      </c>
      <c r="Q24" s="2" t="s">
        <v>276</v>
      </c>
      <c r="R24" s="2" t="s">
        <v>39</v>
      </c>
      <c r="S24" s="2" t="s">
        <v>39</v>
      </c>
      <c r="T24" s="2" t="s">
        <v>39</v>
      </c>
      <c r="U24" s="2" t="s">
        <v>40</v>
      </c>
      <c r="V24" s="2" t="s">
        <v>41</v>
      </c>
      <c r="W24" s="2" t="s">
        <v>55</v>
      </c>
    </row>
    <row r="25" spans="1:23" ht="41.4">
      <c r="A25" s="2" t="s">
        <v>277</v>
      </c>
      <c r="B25" s="2" t="s">
        <v>24</v>
      </c>
      <c r="C25" s="2">
        <v>1</v>
      </c>
      <c r="D25" s="2" t="s">
        <v>25</v>
      </c>
      <c r="E25" s="2" t="s">
        <v>82</v>
      </c>
      <c r="F25" s="2" t="s">
        <v>278</v>
      </c>
      <c r="G25" s="2" t="s">
        <v>279</v>
      </c>
      <c r="H25" s="2" t="s">
        <v>280</v>
      </c>
      <c r="I25" s="2" t="s">
        <v>281</v>
      </c>
      <c r="J25" s="2" t="s">
        <v>282</v>
      </c>
      <c r="K25" s="2" t="s">
        <v>62</v>
      </c>
      <c r="L25" s="2" t="s">
        <v>283</v>
      </c>
      <c r="M25" s="2" t="s">
        <v>284</v>
      </c>
      <c r="N25" s="2" t="s">
        <v>191</v>
      </c>
      <c r="O25" s="2" t="s">
        <v>102</v>
      </c>
      <c r="P25" s="2" t="s">
        <v>285</v>
      </c>
      <c r="Q25" s="2" t="s">
        <v>93</v>
      </c>
      <c r="R25" s="2" t="s">
        <v>39</v>
      </c>
      <c r="S25" s="2" t="s">
        <v>39</v>
      </c>
      <c r="T25" s="2" t="s">
        <v>39</v>
      </c>
      <c r="U25" s="2" t="s">
        <v>40</v>
      </c>
      <c r="V25" s="2" t="s">
        <v>41</v>
      </c>
      <c r="W25" s="2" t="s">
        <v>55</v>
      </c>
    </row>
    <row r="26" spans="1:23" ht="41.4">
      <c r="A26" s="2" t="s">
        <v>286</v>
      </c>
      <c r="B26" s="2" t="s">
        <v>24</v>
      </c>
      <c r="C26" s="2">
        <v>1</v>
      </c>
      <c r="D26" s="2" t="s">
        <v>25</v>
      </c>
      <c r="E26" s="2" t="s">
        <v>70</v>
      </c>
      <c r="F26" s="2" t="s">
        <v>287</v>
      </c>
      <c r="G26" s="2" t="s">
        <v>288</v>
      </c>
      <c r="H26" s="2" t="s">
        <v>138</v>
      </c>
      <c r="I26" s="2" t="s">
        <v>289</v>
      </c>
      <c r="J26" s="2" t="s">
        <v>290</v>
      </c>
      <c r="K26" s="2" t="s">
        <v>76</v>
      </c>
      <c r="L26" s="2" t="s">
        <v>291</v>
      </c>
      <c r="M26" s="2" t="s">
        <v>292</v>
      </c>
      <c r="N26" s="2" t="s">
        <v>191</v>
      </c>
      <c r="O26" s="2" t="s">
        <v>293</v>
      </c>
      <c r="P26" s="2" t="s">
        <v>294</v>
      </c>
      <c r="Q26" s="2" t="s">
        <v>295</v>
      </c>
      <c r="R26" s="2" t="s">
        <v>39</v>
      </c>
      <c r="S26" s="2" t="s">
        <v>39</v>
      </c>
      <c r="T26" s="2" t="s">
        <v>39</v>
      </c>
      <c r="U26" s="2" t="s">
        <v>40</v>
      </c>
      <c r="V26" s="2" t="s">
        <v>41</v>
      </c>
      <c r="W26" s="2" t="s">
        <v>55</v>
      </c>
    </row>
    <row r="27" spans="1:23" ht="41.4">
      <c r="A27" s="2" t="s">
        <v>296</v>
      </c>
      <c r="B27" s="2" t="s">
        <v>24</v>
      </c>
      <c r="C27" s="2">
        <v>1</v>
      </c>
      <c r="D27" s="2" t="s">
        <v>25</v>
      </c>
      <c r="E27" s="2" t="s">
        <v>113</v>
      </c>
      <c r="F27" s="2" t="s">
        <v>297</v>
      </c>
      <c r="G27" s="2" t="s">
        <v>298</v>
      </c>
      <c r="H27" s="2" t="s">
        <v>299</v>
      </c>
      <c r="I27" s="2" t="s">
        <v>300</v>
      </c>
      <c r="J27" s="2" t="s">
        <v>301</v>
      </c>
      <c r="K27" s="2" t="s">
        <v>32</v>
      </c>
      <c r="L27" s="2" t="s">
        <v>302</v>
      </c>
      <c r="M27" s="2" t="s">
        <v>303</v>
      </c>
      <c r="N27" s="2" t="s">
        <v>191</v>
      </c>
      <c r="O27" s="2" t="s">
        <v>304</v>
      </c>
      <c r="P27" s="2" t="s">
        <v>305</v>
      </c>
      <c r="Q27" s="2" t="s">
        <v>306</v>
      </c>
      <c r="R27" s="2" t="s">
        <v>39</v>
      </c>
      <c r="S27" s="2" t="s">
        <v>39</v>
      </c>
      <c r="T27" s="2" t="s">
        <v>39</v>
      </c>
      <c r="U27" s="2" t="s">
        <v>40</v>
      </c>
      <c r="V27" s="2" t="s">
        <v>41</v>
      </c>
      <c r="W27" s="2" t="s">
        <v>55</v>
      </c>
    </row>
    <row r="28" spans="1:23" ht="41.4">
      <c r="A28" s="2" t="s">
        <v>307</v>
      </c>
      <c r="B28" s="2" t="s">
        <v>24</v>
      </c>
      <c r="C28" s="2">
        <v>1</v>
      </c>
      <c r="D28" s="2" t="s">
        <v>25</v>
      </c>
      <c r="E28" s="2" t="s">
        <v>113</v>
      </c>
      <c r="F28" s="2" t="s">
        <v>308</v>
      </c>
      <c r="G28" s="2" t="s">
        <v>309</v>
      </c>
      <c r="H28" s="2" t="s">
        <v>310</v>
      </c>
      <c r="I28" s="2" t="s">
        <v>311</v>
      </c>
      <c r="J28" s="2" t="s">
        <v>312</v>
      </c>
      <c r="K28" s="2" t="s">
        <v>76</v>
      </c>
      <c r="L28" s="2" t="s">
        <v>313</v>
      </c>
      <c r="M28" s="2" t="s">
        <v>314</v>
      </c>
      <c r="N28" s="2" t="s">
        <v>65</v>
      </c>
      <c r="O28" s="2" t="s">
        <v>315</v>
      </c>
      <c r="P28" s="2" t="s">
        <v>316</v>
      </c>
      <c r="Q28" s="2" t="s">
        <v>317</v>
      </c>
      <c r="R28" s="2" t="s">
        <v>39</v>
      </c>
      <c r="S28" s="2" t="s">
        <v>39</v>
      </c>
      <c r="T28" s="2" t="s">
        <v>39</v>
      </c>
      <c r="U28" s="2" t="s">
        <v>40</v>
      </c>
      <c r="V28" s="2" t="s">
        <v>41</v>
      </c>
      <c r="W28" s="2" t="s">
        <v>55</v>
      </c>
    </row>
    <row r="29" spans="1:23" ht="41.4">
      <c r="A29" s="2" t="s">
        <v>318</v>
      </c>
      <c r="B29" s="2" t="s">
        <v>24</v>
      </c>
      <c r="C29" s="2">
        <v>1</v>
      </c>
      <c r="D29" s="2" t="s">
        <v>25</v>
      </c>
      <c r="E29" s="2" t="s">
        <v>113</v>
      </c>
      <c r="F29" s="2" t="s">
        <v>319</v>
      </c>
      <c r="G29" s="2" t="s">
        <v>135</v>
      </c>
      <c r="H29" s="2" t="s">
        <v>138</v>
      </c>
      <c r="I29" s="2" t="s">
        <v>320</v>
      </c>
      <c r="J29" s="2" t="s">
        <v>137</v>
      </c>
      <c r="K29" s="2" t="s">
        <v>88</v>
      </c>
      <c r="L29" s="2" t="s">
        <v>321</v>
      </c>
      <c r="M29" s="2" t="s">
        <v>322</v>
      </c>
      <c r="N29" s="2" t="s">
        <v>35</v>
      </c>
      <c r="O29" s="2" t="s">
        <v>323</v>
      </c>
      <c r="P29" s="2" t="s">
        <v>324</v>
      </c>
      <c r="Q29" s="2" t="s">
        <v>325</v>
      </c>
      <c r="R29" s="2" t="s">
        <v>39</v>
      </c>
      <c r="S29" s="2" t="s">
        <v>39</v>
      </c>
      <c r="T29" s="2" t="s">
        <v>39</v>
      </c>
      <c r="U29" s="2" t="s">
        <v>40</v>
      </c>
      <c r="V29" s="2" t="s">
        <v>41</v>
      </c>
      <c r="W29" s="2" t="s">
        <v>55</v>
      </c>
    </row>
    <row r="30" spans="1:23" ht="41.4">
      <c r="A30" s="2" t="s">
        <v>326</v>
      </c>
      <c r="B30" s="2" t="s">
        <v>24</v>
      </c>
      <c r="C30" s="2">
        <v>1</v>
      </c>
      <c r="D30" s="2" t="s">
        <v>25</v>
      </c>
      <c r="E30" s="2" t="s">
        <v>113</v>
      </c>
      <c r="F30" s="2" t="s">
        <v>327</v>
      </c>
      <c r="G30" s="2" t="s">
        <v>328</v>
      </c>
      <c r="H30" s="2" t="s">
        <v>329</v>
      </c>
      <c r="I30" s="2" t="s">
        <v>330</v>
      </c>
      <c r="J30" s="2" t="s">
        <v>30</v>
      </c>
      <c r="K30" s="2" t="s">
        <v>76</v>
      </c>
      <c r="L30" s="2" t="s">
        <v>331</v>
      </c>
      <c r="M30" s="2" t="s">
        <v>332</v>
      </c>
      <c r="N30" s="2" t="s">
        <v>35</v>
      </c>
      <c r="O30" s="2" t="s">
        <v>333</v>
      </c>
      <c r="P30" s="2" t="s">
        <v>334</v>
      </c>
      <c r="Q30" s="2" t="s">
        <v>325</v>
      </c>
      <c r="R30" s="2" t="s">
        <v>39</v>
      </c>
      <c r="S30" s="2" t="s">
        <v>39</v>
      </c>
      <c r="T30" s="2" t="s">
        <v>39</v>
      </c>
      <c r="U30" s="2" t="s">
        <v>40</v>
      </c>
      <c r="V30" s="2" t="s">
        <v>41</v>
      </c>
      <c r="W30" s="2" t="s">
        <v>55</v>
      </c>
    </row>
    <row r="31" spans="1:23" ht="69">
      <c r="A31" s="2" t="s">
        <v>335</v>
      </c>
      <c r="B31" s="2" t="s">
        <v>24</v>
      </c>
      <c r="C31" s="2">
        <v>1</v>
      </c>
      <c r="D31" s="2" t="s">
        <v>25</v>
      </c>
      <c r="E31" s="2" t="s">
        <v>113</v>
      </c>
      <c r="F31" s="2" t="s">
        <v>336</v>
      </c>
      <c r="G31" s="2" t="s">
        <v>337</v>
      </c>
      <c r="H31" s="2" t="s">
        <v>338</v>
      </c>
      <c r="I31" s="2" t="s">
        <v>339</v>
      </c>
      <c r="J31" s="2" t="s">
        <v>340</v>
      </c>
      <c r="K31" s="2" t="s">
        <v>76</v>
      </c>
      <c r="L31" s="2" t="s">
        <v>341</v>
      </c>
      <c r="M31" s="2" t="s">
        <v>342</v>
      </c>
      <c r="N31" s="2" t="s">
        <v>65</v>
      </c>
      <c r="O31" s="2" t="s">
        <v>343</v>
      </c>
      <c r="P31" s="2" t="s">
        <v>344</v>
      </c>
      <c r="Q31" s="2" t="s">
        <v>345</v>
      </c>
      <c r="R31" s="2" t="s">
        <v>39</v>
      </c>
      <c r="S31" s="2" t="s">
        <v>39</v>
      </c>
      <c r="T31" s="2" t="s">
        <v>39</v>
      </c>
      <c r="U31" s="2" t="s">
        <v>40</v>
      </c>
      <c r="V31" s="2" t="s">
        <v>41</v>
      </c>
      <c r="W31" s="2" t="s">
        <v>42</v>
      </c>
    </row>
    <row r="32" spans="1:23" ht="41.4">
      <c r="A32" s="2" t="s">
        <v>346</v>
      </c>
      <c r="B32" s="2" t="s">
        <v>24</v>
      </c>
      <c r="C32" s="2">
        <v>1</v>
      </c>
      <c r="D32" s="2" t="s">
        <v>25</v>
      </c>
      <c r="E32" s="2" t="s">
        <v>113</v>
      </c>
      <c r="F32" s="2" t="s">
        <v>347</v>
      </c>
      <c r="G32" s="2" t="s">
        <v>348</v>
      </c>
      <c r="H32" s="2" t="s">
        <v>349</v>
      </c>
      <c r="I32" s="2" t="s">
        <v>350</v>
      </c>
      <c r="J32" s="2" t="s">
        <v>351</v>
      </c>
      <c r="K32" s="2" t="s">
        <v>32</v>
      </c>
      <c r="L32" s="2" t="s">
        <v>352</v>
      </c>
      <c r="M32" s="2" t="s">
        <v>353</v>
      </c>
      <c r="N32" s="2" t="s">
        <v>65</v>
      </c>
      <c r="O32" s="2" t="s">
        <v>354</v>
      </c>
      <c r="P32" s="2" t="s">
        <v>355</v>
      </c>
      <c r="Q32" s="2" t="s">
        <v>356</v>
      </c>
      <c r="R32" s="2" t="s">
        <v>39</v>
      </c>
      <c r="S32" s="2" t="s">
        <v>39</v>
      </c>
      <c r="T32" s="2" t="s">
        <v>39</v>
      </c>
      <c r="U32" s="2" t="s">
        <v>40</v>
      </c>
      <c r="V32" s="2" t="s">
        <v>41</v>
      </c>
      <c r="W32" s="2" t="s">
        <v>55</v>
      </c>
    </row>
    <row r="33" spans="1:23" ht="27.6">
      <c r="A33" s="2" t="s">
        <v>357</v>
      </c>
      <c r="B33" s="2" t="s">
        <v>24</v>
      </c>
      <c r="C33" s="2">
        <v>1</v>
      </c>
      <c r="D33" s="2" t="s">
        <v>25</v>
      </c>
      <c r="E33" s="2" t="s">
        <v>70</v>
      </c>
      <c r="F33" s="2" t="s">
        <v>358</v>
      </c>
      <c r="G33" s="2" t="s">
        <v>359</v>
      </c>
      <c r="H33" s="2" t="s">
        <v>360</v>
      </c>
      <c r="I33" s="2" t="s">
        <v>361</v>
      </c>
      <c r="J33" s="2" t="s">
        <v>362</v>
      </c>
      <c r="K33" s="2" t="s">
        <v>32</v>
      </c>
      <c r="L33" s="2" t="s">
        <v>363</v>
      </c>
      <c r="M33" s="2" t="s">
        <v>364</v>
      </c>
      <c r="N33" s="2" t="s">
        <v>65</v>
      </c>
      <c r="O33" s="2" t="s">
        <v>365</v>
      </c>
      <c r="P33" s="2" t="s">
        <v>366</v>
      </c>
      <c r="Q33" s="2" t="s">
        <v>367</v>
      </c>
      <c r="R33" s="2" t="s">
        <v>39</v>
      </c>
      <c r="S33" s="2" t="s">
        <v>39</v>
      </c>
      <c r="T33" s="2" t="s">
        <v>39</v>
      </c>
      <c r="U33" s="2" t="s">
        <v>40</v>
      </c>
      <c r="V33" s="2" t="s">
        <v>41</v>
      </c>
      <c r="W33" s="2" t="s">
        <v>42</v>
      </c>
    </row>
    <row r="34" spans="1:23" ht="55.2">
      <c r="A34" s="2" t="s">
        <v>368</v>
      </c>
      <c r="B34" s="2" t="s">
        <v>24</v>
      </c>
      <c r="C34" s="2">
        <v>1</v>
      </c>
      <c r="D34" s="2" t="s">
        <v>25</v>
      </c>
      <c r="E34" s="2" t="s">
        <v>113</v>
      </c>
      <c r="F34" s="2" t="s">
        <v>369</v>
      </c>
      <c r="G34" s="2" t="s">
        <v>370</v>
      </c>
      <c r="H34" s="2" t="s">
        <v>371</v>
      </c>
      <c r="I34" s="2" t="s">
        <v>372</v>
      </c>
      <c r="J34" s="2" t="s">
        <v>373</v>
      </c>
      <c r="K34" s="2" t="s">
        <v>62</v>
      </c>
      <c r="L34" s="2" t="s">
        <v>374</v>
      </c>
      <c r="M34" s="2" t="s">
        <v>375</v>
      </c>
      <c r="N34" s="2" t="s">
        <v>65</v>
      </c>
      <c r="O34" s="2" t="s">
        <v>376</v>
      </c>
      <c r="P34" s="2" t="s">
        <v>377</v>
      </c>
      <c r="Q34" s="2" t="s">
        <v>378</v>
      </c>
      <c r="R34" s="2" t="s">
        <v>39</v>
      </c>
      <c r="S34" s="2" t="s">
        <v>39</v>
      </c>
      <c r="T34" s="2" t="s">
        <v>39</v>
      </c>
      <c r="U34" s="2" t="s">
        <v>40</v>
      </c>
      <c r="V34" s="2" t="s">
        <v>41</v>
      </c>
      <c r="W34" s="2" t="s">
        <v>55</v>
      </c>
    </row>
    <row r="35" spans="1:23" ht="41.4">
      <c r="A35" s="2" t="s">
        <v>379</v>
      </c>
      <c r="B35" s="2" t="s">
        <v>24</v>
      </c>
      <c r="C35" s="2">
        <v>1</v>
      </c>
      <c r="D35" s="2" t="s">
        <v>25</v>
      </c>
      <c r="E35" s="2" t="s">
        <v>113</v>
      </c>
      <c r="F35" s="2" t="s">
        <v>380</v>
      </c>
      <c r="G35" s="2" t="s">
        <v>135</v>
      </c>
      <c r="H35" s="2" t="s">
        <v>138</v>
      </c>
      <c r="I35" s="2" t="s">
        <v>381</v>
      </c>
      <c r="J35" s="2" t="s">
        <v>382</v>
      </c>
      <c r="K35" s="2" t="s">
        <v>88</v>
      </c>
      <c r="L35" s="2" t="s">
        <v>383</v>
      </c>
      <c r="M35" s="2" t="s">
        <v>375</v>
      </c>
      <c r="N35" s="2" t="s">
        <v>65</v>
      </c>
      <c r="O35" s="2" t="s">
        <v>384</v>
      </c>
      <c r="P35" s="2" t="s">
        <v>385</v>
      </c>
      <c r="Q35" s="2" t="s">
        <v>386</v>
      </c>
      <c r="R35" s="2" t="s">
        <v>39</v>
      </c>
      <c r="S35" s="2" t="s">
        <v>39</v>
      </c>
      <c r="T35" s="2" t="s">
        <v>39</v>
      </c>
      <c r="U35" s="2" t="s">
        <v>40</v>
      </c>
      <c r="V35" s="2" t="s">
        <v>41</v>
      </c>
      <c r="W35" s="2" t="s">
        <v>55</v>
      </c>
    </row>
    <row r="36" spans="1:23" ht="41.4">
      <c r="A36" s="2" t="s">
        <v>387</v>
      </c>
      <c r="B36" s="2" t="s">
        <v>24</v>
      </c>
      <c r="C36" s="2">
        <v>1</v>
      </c>
      <c r="D36" s="2" t="s">
        <v>25</v>
      </c>
      <c r="E36" s="2" t="s">
        <v>113</v>
      </c>
      <c r="F36" s="2" t="s">
        <v>388</v>
      </c>
      <c r="G36" s="2" t="s">
        <v>389</v>
      </c>
      <c r="H36" s="2" t="s">
        <v>390</v>
      </c>
      <c r="I36" s="2" t="s">
        <v>391</v>
      </c>
      <c r="J36" s="2" t="s">
        <v>48</v>
      </c>
      <c r="K36" s="2" t="s">
        <v>76</v>
      </c>
      <c r="L36" s="2" t="s">
        <v>392</v>
      </c>
      <c r="M36" s="2" t="s">
        <v>332</v>
      </c>
      <c r="N36" s="2" t="s">
        <v>65</v>
      </c>
      <c r="O36" s="2" t="s">
        <v>333</v>
      </c>
      <c r="P36" s="2" t="s">
        <v>393</v>
      </c>
      <c r="Q36" s="2" t="s">
        <v>394</v>
      </c>
      <c r="R36" s="2" t="s">
        <v>39</v>
      </c>
      <c r="S36" s="2" t="s">
        <v>39</v>
      </c>
      <c r="T36" s="2" t="s">
        <v>39</v>
      </c>
      <c r="U36" s="2" t="s">
        <v>40</v>
      </c>
      <c r="V36" s="2" t="s">
        <v>41</v>
      </c>
      <c r="W36" s="2" t="s">
        <v>55</v>
      </c>
    </row>
    <row r="37" spans="1:23" ht="41.4">
      <c r="A37" s="2" t="s">
        <v>395</v>
      </c>
      <c r="B37" s="2" t="s">
        <v>24</v>
      </c>
      <c r="C37" s="2">
        <v>1</v>
      </c>
      <c r="D37" s="2" t="s">
        <v>25</v>
      </c>
      <c r="E37" s="2" t="s">
        <v>113</v>
      </c>
      <c r="F37" s="2" t="s">
        <v>396</v>
      </c>
      <c r="G37" s="2" t="s">
        <v>397</v>
      </c>
      <c r="H37" s="2" t="s">
        <v>398</v>
      </c>
      <c r="I37" s="2" t="s">
        <v>399</v>
      </c>
      <c r="J37" s="2" t="s">
        <v>135</v>
      </c>
      <c r="K37" s="2" t="s">
        <v>62</v>
      </c>
      <c r="L37" s="2" t="s">
        <v>400</v>
      </c>
      <c r="M37" s="2" t="s">
        <v>120</v>
      </c>
      <c r="N37" s="2" t="s">
        <v>65</v>
      </c>
      <c r="O37" s="2" t="s">
        <v>323</v>
      </c>
      <c r="P37" s="2" t="s">
        <v>324</v>
      </c>
      <c r="Q37" s="2" t="s">
        <v>325</v>
      </c>
      <c r="R37" s="2" t="s">
        <v>39</v>
      </c>
      <c r="S37" s="2" t="s">
        <v>39</v>
      </c>
      <c r="T37" s="2" t="s">
        <v>39</v>
      </c>
      <c r="U37" s="2" t="s">
        <v>40</v>
      </c>
      <c r="V37" s="2" t="s">
        <v>41</v>
      </c>
      <c r="W37" s="2" t="s">
        <v>55</v>
      </c>
    </row>
    <row r="38" spans="1:23" ht="69">
      <c r="A38" s="2" t="s">
        <v>401</v>
      </c>
      <c r="B38" s="2" t="s">
        <v>24</v>
      </c>
      <c r="C38" s="2">
        <v>1</v>
      </c>
      <c r="D38" s="2" t="s">
        <v>25</v>
      </c>
      <c r="E38" s="2" t="s">
        <v>113</v>
      </c>
      <c r="F38" s="2" t="s">
        <v>402</v>
      </c>
      <c r="G38" s="2" t="s">
        <v>403</v>
      </c>
      <c r="H38" s="2" t="s">
        <v>404</v>
      </c>
      <c r="I38" s="2" t="s">
        <v>405</v>
      </c>
      <c r="J38" s="2" t="s">
        <v>406</v>
      </c>
      <c r="K38" s="2" t="s">
        <v>76</v>
      </c>
      <c r="L38" s="2" t="s">
        <v>407</v>
      </c>
      <c r="M38" s="2" t="s">
        <v>408</v>
      </c>
      <c r="N38" s="2" t="s">
        <v>191</v>
      </c>
      <c r="O38" s="2" t="s">
        <v>409</v>
      </c>
      <c r="P38" s="2" t="s">
        <v>410</v>
      </c>
      <c r="Q38" s="2" t="s">
        <v>411</v>
      </c>
      <c r="R38" s="2" t="s">
        <v>39</v>
      </c>
      <c r="S38" s="2" t="s">
        <v>39</v>
      </c>
      <c r="T38" s="2" t="s">
        <v>39</v>
      </c>
      <c r="U38" s="2" t="s">
        <v>40</v>
      </c>
      <c r="V38" s="2" t="s">
        <v>41</v>
      </c>
      <c r="W38" s="2" t="s">
        <v>42</v>
      </c>
    </row>
    <row r="39" spans="1:23" ht="69">
      <c r="A39" s="2" t="s">
        <v>412</v>
      </c>
      <c r="B39" s="2" t="s">
        <v>24</v>
      </c>
      <c r="C39" s="2">
        <v>1</v>
      </c>
      <c r="D39" s="2" t="s">
        <v>25</v>
      </c>
      <c r="E39" s="2" t="s">
        <v>113</v>
      </c>
      <c r="F39" s="2" t="s">
        <v>413</v>
      </c>
      <c r="G39" s="2" t="s">
        <v>414</v>
      </c>
      <c r="H39" s="2" t="s">
        <v>415</v>
      </c>
      <c r="I39" s="2" t="s">
        <v>416</v>
      </c>
      <c r="J39" s="2" t="s">
        <v>417</v>
      </c>
      <c r="K39" s="2" t="s">
        <v>62</v>
      </c>
      <c r="L39" s="2" t="s">
        <v>418</v>
      </c>
      <c r="M39" s="2" t="s">
        <v>419</v>
      </c>
      <c r="N39" s="2" t="s">
        <v>191</v>
      </c>
      <c r="O39" s="2" t="s">
        <v>420</v>
      </c>
      <c r="P39" s="2" t="s">
        <v>421</v>
      </c>
      <c r="Q39" s="2" t="s">
        <v>422</v>
      </c>
      <c r="R39" s="2" t="s">
        <v>39</v>
      </c>
      <c r="S39" s="2" t="s">
        <v>39</v>
      </c>
      <c r="T39" s="2" t="s">
        <v>39</v>
      </c>
      <c r="U39" s="2" t="s">
        <v>40</v>
      </c>
      <c r="V39" s="2" t="s">
        <v>41</v>
      </c>
      <c r="W39" s="2" t="s">
        <v>42</v>
      </c>
    </row>
    <row r="40" spans="1:23" ht="82.8">
      <c r="A40" s="2" t="s">
        <v>423</v>
      </c>
      <c r="B40" s="2" t="s">
        <v>24</v>
      </c>
      <c r="C40" s="2">
        <v>1</v>
      </c>
      <c r="D40" s="2" t="s">
        <v>25</v>
      </c>
      <c r="E40" s="2" t="s">
        <v>113</v>
      </c>
      <c r="F40" s="2" t="s">
        <v>424</v>
      </c>
      <c r="G40" s="2" t="s">
        <v>425</v>
      </c>
      <c r="H40" s="2" t="s">
        <v>426</v>
      </c>
      <c r="I40" s="2" t="s">
        <v>427</v>
      </c>
      <c r="J40" s="2" t="s">
        <v>428</v>
      </c>
      <c r="K40" s="2" t="s">
        <v>62</v>
      </c>
      <c r="L40" s="2" t="s">
        <v>429</v>
      </c>
      <c r="M40" s="2" t="s">
        <v>430</v>
      </c>
      <c r="N40" s="2" t="s">
        <v>65</v>
      </c>
      <c r="O40" s="2" t="s">
        <v>431</v>
      </c>
      <c r="P40" s="2" t="s">
        <v>432</v>
      </c>
      <c r="Q40" s="2" t="s">
        <v>433</v>
      </c>
      <c r="R40" s="2" t="s">
        <v>39</v>
      </c>
      <c r="S40" s="2" t="s">
        <v>39</v>
      </c>
      <c r="T40" s="2" t="s">
        <v>39</v>
      </c>
      <c r="U40" s="2" t="s">
        <v>40</v>
      </c>
      <c r="V40" s="2" t="s">
        <v>41</v>
      </c>
      <c r="W40" s="2" t="s">
        <v>42</v>
      </c>
    </row>
    <row r="41" spans="1:23" ht="41.4">
      <c r="A41" s="2" t="s">
        <v>434</v>
      </c>
      <c r="B41" s="2" t="s">
        <v>24</v>
      </c>
      <c r="C41" s="2">
        <v>2</v>
      </c>
      <c r="D41" s="2" t="s">
        <v>435</v>
      </c>
      <c r="E41" s="2" t="s">
        <v>436</v>
      </c>
      <c r="F41" s="2" t="s">
        <v>437</v>
      </c>
      <c r="G41" s="2" t="s">
        <v>438</v>
      </c>
      <c r="H41" s="2" t="s">
        <v>439</v>
      </c>
      <c r="I41" s="2" t="s">
        <v>440</v>
      </c>
      <c r="J41" s="2" t="s">
        <v>441</v>
      </c>
      <c r="K41" s="2" t="s">
        <v>76</v>
      </c>
      <c r="L41" s="2" t="s">
        <v>442</v>
      </c>
      <c r="M41" s="2" t="s">
        <v>443</v>
      </c>
      <c r="N41" s="2" t="s">
        <v>191</v>
      </c>
      <c r="O41" s="2" t="s">
        <v>444</v>
      </c>
      <c r="P41" s="2" t="s">
        <v>445</v>
      </c>
      <c r="Q41" s="2" t="s">
        <v>446</v>
      </c>
      <c r="R41" s="2" t="s">
        <v>39</v>
      </c>
      <c r="S41" s="2" t="s">
        <v>39</v>
      </c>
      <c r="T41" s="2" t="s">
        <v>39</v>
      </c>
      <c r="U41" s="2" t="s">
        <v>40</v>
      </c>
      <c r="V41" s="2" t="s">
        <v>447</v>
      </c>
      <c r="W41" s="2" t="s">
        <v>55</v>
      </c>
    </row>
    <row r="42" spans="1:23" ht="82.8">
      <c r="A42" s="2" t="s">
        <v>448</v>
      </c>
      <c r="B42" s="2" t="s">
        <v>24</v>
      </c>
      <c r="C42" s="2">
        <v>2</v>
      </c>
      <c r="D42" s="2" t="s">
        <v>435</v>
      </c>
      <c r="E42" s="2" t="s">
        <v>436</v>
      </c>
      <c r="F42" s="2" t="s">
        <v>449</v>
      </c>
      <c r="G42" s="2" t="s">
        <v>450</v>
      </c>
      <c r="H42" s="2" t="s">
        <v>451</v>
      </c>
      <c r="I42" s="2" t="s">
        <v>452</v>
      </c>
      <c r="J42" s="2" t="s">
        <v>453</v>
      </c>
      <c r="K42" s="2" t="s">
        <v>62</v>
      </c>
      <c r="L42" s="2" t="s">
        <v>454</v>
      </c>
      <c r="M42" s="2" t="s">
        <v>455</v>
      </c>
      <c r="N42" s="2" t="s">
        <v>65</v>
      </c>
      <c r="O42" s="2" t="s">
        <v>456</v>
      </c>
      <c r="P42" s="2" t="s">
        <v>457</v>
      </c>
      <c r="Q42" s="2" t="s">
        <v>458</v>
      </c>
      <c r="R42" s="2" t="s">
        <v>39</v>
      </c>
      <c r="S42" s="2" t="s">
        <v>39</v>
      </c>
      <c r="T42" s="2" t="s">
        <v>39</v>
      </c>
      <c r="U42" s="2" t="s">
        <v>40</v>
      </c>
      <c r="V42" s="2" t="s">
        <v>447</v>
      </c>
      <c r="W42" s="2" t="s">
        <v>42</v>
      </c>
    </row>
    <row r="43" spans="1:23" ht="55.2">
      <c r="A43" s="2" t="s">
        <v>459</v>
      </c>
      <c r="B43" s="2" t="s">
        <v>24</v>
      </c>
      <c r="C43" s="2">
        <v>2</v>
      </c>
      <c r="D43" s="2" t="s">
        <v>435</v>
      </c>
      <c r="E43" s="2" t="s">
        <v>460</v>
      </c>
      <c r="F43" s="2" t="s">
        <v>461</v>
      </c>
      <c r="G43" s="2" t="s">
        <v>462</v>
      </c>
      <c r="H43" s="2" t="s">
        <v>463</v>
      </c>
      <c r="I43" s="2" t="s">
        <v>464</v>
      </c>
      <c r="J43" s="2" t="s">
        <v>465</v>
      </c>
      <c r="K43" s="2" t="s">
        <v>62</v>
      </c>
      <c r="L43" s="2" t="s">
        <v>466</v>
      </c>
      <c r="M43" s="2" t="s">
        <v>467</v>
      </c>
      <c r="N43" s="2" t="s">
        <v>65</v>
      </c>
      <c r="O43" s="2" t="s">
        <v>468</v>
      </c>
      <c r="P43" s="2" t="s">
        <v>469</v>
      </c>
      <c r="Q43" s="2" t="s">
        <v>470</v>
      </c>
      <c r="R43" s="2" t="s">
        <v>39</v>
      </c>
      <c r="S43" s="2" t="s">
        <v>39</v>
      </c>
      <c r="T43" s="2" t="s">
        <v>39</v>
      </c>
      <c r="U43" s="2" t="s">
        <v>40</v>
      </c>
      <c r="V43" s="2" t="s">
        <v>447</v>
      </c>
      <c r="W43" s="2" t="s">
        <v>42</v>
      </c>
    </row>
    <row r="44" spans="1:23" ht="41.4">
      <c r="A44" s="2" t="s">
        <v>471</v>
      </c>
      <c r="B44" s="2" t="s">
        <v>24</v>
      </c>
      <c r="C44" s="2">
        <v>2</v>
      </c>
      <c r="D44" s="2" t="s">
        <v>435</v>
      </c>
      <c r="E44" s="2" t="s">
        <v>472</v>
      </c>
      <c r="F44" s="2" t="s">
        <v>473</v>
      </c>
      <c r="G44" s="2" t="s">
        <v>474</v>
      </c>
      <c r="H44" s="2" t="s">
        <v>475</v>
      </c>
      <c r="I44" s="2" t="s">
        <v>476</v>
      </c>
      <c r="J44" s="2" t="s">
        <v>477</v>
      </c>
      <c r="K44" s="2" t="s">
        <v>32</v>
      </c>
      <c r="L44" s="2" t="s">
        <v>478</v>
      </c>
      <c r="M44" s="2" t="s">
        <v>479</v>
      </c>
      <c r="N44" s="2" t="s">
        <v>191</v>
      </c>
      <c r="O44" s="2" t="s">
        <v>480</v>
      </c>
      <c r="P44" s="2" t="s">
        <v>481</v>
      </c>
      <c r="Q44" s="2" t="s">
        <v>482</v>
      </c>
      <c r="R44" s="2" t="s">
        <v>39</v>
      </c>
      <c r="S44" s="2" t="s">
        <v>39</v>
      </c>
      <c r="T44" s="2" t="s">
        <v>39</v>
      </c>
      <c r="U44" s="2" t="s">
        <v>40</v>
      </c>
      <c r="V44" s="2" t="s">
        <v>447</v>
      </c>
      <c r="W44" s="2" t="s">
        <v>55</v>
      </c>
    </row>
    <row r="45" spans="1:23" ht="55.2">
      <c r="A45" s="2" t="s">
        <v>483</v>
      </c>
      <c r="B45" s="2" t="s">
        <v>24</v>
      </c>
      <c r="C45" s="2">
        <v>2</v>
      </c>
      <c r="D45" s="2" t="s">
        <v>435</v>
      </c>
      <c r="E45" s="2" t="s">
        <v>460</v>
      </c>
      <c r="F45" s="2" t="s">
        <v>484</v>
      </c>
      <c r="G45" s="2" t="s">
        <v>485</v>
      </c>
      <c r="H45" s="2" t="s">
        <v>486</v>
      </c>
      <c r="I45" s="2" t="s">
        <v>487</v>
      </c>
      <c r="J45" s="2" t="s">
        <v>488</v>
      </c>
      <c r="K45" s="2" t="s">
        <v>76</v>
      </c>
      <c r="L45" s="2" t="s">
        <v>489</v>
      </c>
      <c r="M45" s="2" t="s">
        <v>490</v>
      </c>
      <c r="N45" s="2" t="s">
        <v>191</v>
      </c>
      <c r="O45" s="2" t="s">
        <v>491</v>
      </c>
      <c r="P45" s="2" t="s">
        <v>492</v>
      </c>
      <c r="Q45" s="2" t="s">
        <v>493</v>
      </c>
      <c r="R45" s="2" t="s">
        <v>39</v>
      </c>
      <c r="S45" s="2" t="s">
        <v>39</v>
      </c>
      <c r="T45" s="2" t="s">
        <v>39</v>
      </c>
      <c r="U45" s="2" t="s">
        <v>40</v>
      </c>
      <c r="V45" s="2" t="s">
        <v>447</v>
      </c>
      <c r="W45" s="2" t="s">
        <v>55</v>
      </c>
    </row>
    <row r="46" spans="1:23" ht="41.4">
      <c r="A46" s="2" t="s">
        <v>494</v>
      </c>
      <c r="B46" s="2" t="s">
        <v>24</v>
      </c>
      <c r="C46" s="2">
        <v>2</v>
      </c>
      <c r="D46" s="2" t="s">
        <v>435</v>
      </c>
      <c r="E46" s="2" t="s">
        <v>495</v>
      </c>
      <c r="F46" s="2" t="s">
        <v>496</v>
      </c>
      <c r="G46" s="2" t="s">
        <v>497</v>
      </c>
      <c r="H46" s="2" t="s">
        <v>498</v>
      </c>
      <c r="I46" s="2" t="s">
        <v>499</v>
      </c>
      <c r="J46" s="2" t="s">
        <v>500</v>
      </c>
      <c r="K46" s="2" t="s">
        <v>88</v>
      </c>
      <c r="L46" s="2" t="s">
        <v>501</v>
      </c>
      <c r="M46" s="2" t="s">
        <v>502</v>
      </c>
      <c r="N46" s="2" t="s">
        <v>191</v>
      </c>
      <c r="O46" s="2" t="s">
        <v>503</v>
      </c>
      <c r="P46" s="2" t="s">
        <v>504</v>
      </c>
      <c r="Q46" s="2" t="s">
        <v>505</v>
      </c>
      <c r="R46" s="2" t="s">
        <v>39</v>
      </c>
      <c r="S46" s="2" t="s">
        <v>39</v>
      </c>
      <c r="T46" s="2" t="s">
        <v>39</v>
      </c>
      <c r="U46" s="2" t="s">
        <v>40</v>
      </c>
      <c r="V46" s="2" t="s">
        <v>447</v>
      </c>
      <c r="W46" s="2" t="s">
        <v>55</v>
      </c>
    </row>
    <row r="47" spans="1:23" ht="27.6">
      <c r="A47" s="2" t="s">
        <v>506</v>
      </c>
      <c r="B47" s="2" t="s">
        <v>24</v>
      </c>
      <c r="C47" s="2">
        <v>2</v>
      </c>
      <c r="D47" s="2" t="s">
        <v>435</v>
      </c>
      <c r="E47" s="2" t="s">
        <v>495</v>
      </c>
      <c r="F47" s="2" t="s">
        <v>507</v>
      </c>
      <c r="G47" s="2" t="s">
        <v>508</v>
      </c>
      <c r="H47" s="2" t="s">
        <v>509</v>
      </c>
      <c r="I47" s="2" t="s">
        <v>138</v>
      </c>
      <c r="J47" s="2" t="s">
        <v>510</v>
      </c>
      <c r="K47" s="2" t="s">
        <v>32</v>
      </c>
      <c r="L47" s="2" t="s">
        <v>511</v>
      </c>
      <c r="M47" s="2" t="s">
        <v>512</v>
      </c>
      <c r="N47" s="2" t="s">
        <v>191</v>
      </c>
      <c r="O47" s="2" t="s">
        <v>513</v>
      </c>
      <c r="P47" s="2" t="s">
        <v>514</v>
      </c>
      <c r="Q47" s="2" t="s">
        <v>515</v>
      </c>
      <c r="R47" s="2" t="s">
        <v>39</v>
      </c>
      <c r="S47" s="2" t="s">
        <v>39</v>
      </c>
      <c r="T47" s="2" t="s">
        <v>39</v>
      </c>
      <c r="U47" s="2" t="s">
        <v>40</v>
      </c>
      <c r="V47" s="2" t="s">
        <v>447</v>
      </c>
      <c r="W47" s="2" t="s">
        <v>55</v>
      </c>
    </row>
    <row r="48" spans="1:23" ht="41.4">
      <c r="A48" s="2" t="s">
        <v>516</v>
      </c>
      <c r="B48" s="2" t="s">
        <v>24</v>
      </c>
      <c r="C48" s="2">
        <v>2</v>
      </c>
      <c r="D48" s="2" t="s">
        <v>435</v>
      </c>
      <c r="E48" s="2" t="s">
        <v>495</v>
      </c>
      <c r="F48" s="2" t="s">
        <v>517</v>
      </c>
      <c r="G48" s="2" t="s">
        <v>138</v>
      </c>
      <c r="H48" s="2" t="s">
        <v>518</v>
      </c>
      <c r="I48" s="2" t="s">
        <v>519</v>
      </c>
      <c r="J48" s="2" t="s">
        <v>520</v>
      </c>
      <c r="K48" s="2" t="s">
        <v>88</v>
      </c>
      <c r="L48" s="2" t="s">
        <v>521</v>
      </c>
      <c r="M48" s="2" t="s">
        <v>522</v>
      </c>
      <c r="N48" s="2" t="s">
        <v>191</v>
      </c>
      <c r="O48" s="2" t="s">
        <v>523</v>
      </c>
      <c r="P48" s="2" t="s">
        <v>524</v>
      </c>
      <c r="Q48" s="2" t="s">
        <v>525</v>
      </c>
      <c r="R48" s="2" t="s">
        <v>39</v>
      </c>
      <c r="S48" s="2" t="s">
        <v>39</v>
      </c>
      <c r="T48" s="2" t="s">
        <v>39</v>
      </c>
      <c r="U48" s="2" t="s">
        <v>40</v>
      </c>
      <c r="V48" s="2" t="s">
        <v>447</v>
      </c>
      <c r="W48" s="2" t="s">
        <v>55</v>
      </c>
    </row>
    <row r="49" spans="1:23" ht="27.6">
      <c r="A49" s="2" t="s">
        <v>526</v>
      </c>
      <c r="B49" s="2" t="s">
        <v>24</v>
      </c>
      <c r="C49" s="2">
        <v>2</v>
      </c>
      <c r="D49" s="2" t="s">
        <v>435</v>
      </c>
      <c r="E49" s="2" t="s">
        <v>460</v>
      </c>
      <c r="F49" s="2" t="s">
        <v>527</v>
      </c>
      <c r="G49" s="2" t="s">
        <v>528</v>
      </c>
      <c r="H49" s="2" t="s">
        <v>529</v>
      </c>
      <c r="I49" s="2" t="s">
        <v>530</v>
      </c>
      <c r="J49" s="2" t="s">
        <v>531</v>
      </c>
      <c r="K49" s="2" t="s">
        <v>88</v>
      </c>
      <c r="L49" s="2" t="s">
        <v>532</v>
      </c>
      <c r="M49" s="2" t="s">
        <v>533</v>
      </c>
      <c r="N49" s="2" t="s">
        <v>191</v>
      </c>
      <c r="O49" s="2" t="s">
        <v>534</v>
      </c>
      <c r="P49" s="2" t="s">
        <v>535</v>
      </c>
      <c r="Q49" s="2" t="s">
        <v>536</v>
      </c>
      <c r="R49" s="2" t="s">
        <v>39</v>
      </c>
      <c r="S49" s="2" t="s">
        <v>39</v>
      </c>
      <c r="T49" s="2" t="s">
        <v>39</v>
      </c>
      <c r="U49" s="2" t="s">
        <v>40</v>
      </c>
      <c r="V49" s="2" t="s">
        <v>447</v>
      </c>
      <c r="W49" s="2" t="s">
        <v>55</v>
      </c>
    </row>
    <row r="50" spans="1:23" ht="41.4">
      <c r="A50" s="2" t="s">
        <v>537</v>
      </c>
      <c r="B50" s="2" t="s">
        <v>24</v>
      </c>
      <c r="C50" s="2">
        <v>2</v>
      </c>
      <c r="D50" s="2" t="s">
        <v>435</v>
      </c>
      <c r="E50" s="2" t="s">
        <v>460</v>
      </c>
      <c r="F50" s="2" t="s">
        <v>538</v>
      </c>
      <c r="G50" s="2" t="s">
        <v>539</v>
      </c>
      <c r="H50" s="2" t="s">
        <v>529</v>
      </c>
      <c r="I50" s="2" t="s">
        <v>540</v>
      </c>
      <c r="J50" s="2" t="s">
        <v>541</v>
      </c>
      <c r="K50" s="2" t="s">
        <v>76</v>
      </c>
      <c r="L50" s="2" t="s">
        <v>542</v>
      </c>
      <c r="M50" s="2" t="s">
        <v>543</v>
      </c>
      <c r="N50" s="2" t="s">
        <v>191</v>
      </c>
      <c r="O50" s="2" t="s">
        <v>544</v>
      </c>
      <c r="P50" s="2" t="s">
        <v>545</v>
      </c>
      <c r="Q50" s="2" t="s">
        <v>546</v>
      </c>
      <c r="R50" s="2" t="s">
        <v>39</v>
      </c>
      <c r="S50" s="2" t="s">
        <v>39</v>
      </c>
      <c r="T50" s="2" t="s">
        <v>39</v>
      </c>
      <c r="U50" s="2" t="s">
        <v>40</v>
      </c>
      <c r="V50" s="2" t="s">
        <v>447</v>
      </c>
      <c r="W50" s="2" t="s">
        <v>55</v>
      </c>
    </row>
    <row r="51" spans="1:23" ht="41.4">
      <c r="A51" s="2" t="s">
        <v>547</v>
      </c>
      <c r="B51" s="2" t="s">
        <v>24</v>
      </c>
      <c r="C51" s="2">
        <v>2</v>
      </c>
      <c r="D51" s="2" t="s">
        <v>435</v>
      </c>
      <c r="E51" s="2" t="s">
        <v>472</v>
      </c>
      <c r="F51" s="2" t="s">
        <v>548</v>
      </c>
      <c r="G51" s="2" t="s">
        <v>549</v>
      </c>
      <c r="H51" s="2" t="s">
        <v>550</v>
      </c>
      <c r="I51" s="2" t="s">
        <v>551</v>
      </c>
      <c r="J51" s="2" t="s">
        <v>552</v>
      </c>
      <c r="K51" s="2" t="s">
        <v>32</v>
      </c>
      <c r="L51" s="2" t="s">
        <v>553</v>
      </c>
      <c r="M51" s="2" t="s">
        <v>554</v>
      </c>
      <c r="N51" s="2" t="s">
        <v>191</v>
      </c>
      <c r="O51" s="2" t="s">
        <v>555</v>
      </c>
      <c r="P51" s="2" t="s">
        <v>556</v>
      </c>
      <c r="Q51" s="2" t="s">
        <v>557</v>
      </c>
      <c r="R51" s="2" t="s">
        <v>39</v>
      </c>
      <c r="S51" s="2" t="s">
        <v>39</v>
      </c>
      <c r="T51" s="2" t="s">
        <v>39</v>
      </c>
      <c r="U51" s="2" t="s">
        <v>40</v>
      </c>
      <c r="V51" s="2" t="s">
        <v>447</v>
      </c>
      <c r="W51" s="2" t="s">
        <v>55</v>
      </c>
    </row>
    <row r="52" spans="1:23" ht="27.6">
      <c r="A52" s="2" t="s">
        <v>558</v>
      </c>
      <c r="B52" s="2" t="s">
        <v>24</v>
      </c>
      <c r="C52" s="2">
        <v>2</v>
      </c>
      <c r="D52" s="2" t="s">
        <v>435</v>
      </c>
      <c r="E52" s="2" t="s">
        <v>460</v>
      </c>
      <c r="F52" s="2" t="s">
        <v>559</v>
      </c>
      <c r="G52" s="2" t="s">
        <v>560</v>
      </c>
      <c r="H52" s="2" t="s">
        <v>561</v>
      </c>
      <c r="I52" s="2" t="s">
        <v>562</v>
      </c>
      <c r="J52" s="2" t="s">
        <v>563</v>
      </c>
      <c r="K52" s="2" t="s">
        <v>62</v>
      </c>
      <c r="L52" s="2" t="s">
        <v>564</v>
      </c>
      <c r="M52" s="2" t="s">
        <v>565</v>
      </c>
      <c r="N52" s="2" t="s">
        <v>191</v>
      </c>
      <c r="O52" s="2" t="s">
        <v>566</v>
      </c>
      <c r="P52" s="2" t="s">
        <v>567</v>
      </c>
      <c r="Q52" s="2" t="s">
        <v>568</v>
      </c>
      <c r="R52" s="2" t="s">
        <v>39</v>
      </c>
      <c r="S52" s="2" t="s">
        <v>39</v>
      </c>
      <c r="T52" s="2" t="s">
        <v>39</v>
      </c>
      <c r="U52" s="2" t="s">
        <v>40</v>
      </c>
      <c r="V52" s="2" t="s">
        <v>447</v>
      </c>
      <c r="W52" s="2" t="s">
        <v>42</v>
      </c>
    </row>
    <row r="53" spans="1:23" ht="41.4">
      <c r="A53" s="2" t="s">
        <v>569</v>
      </c>
      <c r="B53" s="2" t="s">
        <v>24</v>
      </c>
      <c r="C53" s="2">
        <v>2</v>
      </c>
      <c r="D53" s="2" t="s">
        <v>435</v>
      </c>
      <c r="E53" s="2" t="s">
        <v>460</v>
      </c>
      <c r="F53" s="2" t="s">
        <v>570</v>
      </c>
      <c r="G53" s="2" t="s">
        <v>571</v>
      </c>
      <c r="H53" s="2" t="s">
        <v>572</v>
      </c>
      <c r="I53" s="2" t="s">
        <v>573</v>
      </c>
      <c r="J53" s="2" t="s">
        <v>574</v>
      </c>
      <c r="K53" s="2" t="s">
        <v>88</v>
      </c>
      <c r="L53" s="2" t="s">
        <v>575</v>
      </c>
      <c r="M53" s="2" t="s">
        <v>576</v>
      </c>
      <c r="N53" s="2" t="s">
        <v>191</v>
      </c>
      <c r="O53" s="2" t="s">
        <v>444</v>
      </c>
      <c r="P53" s="2" t="s">
        <v>577</v>
      </c>
      <c r="Q53" s="2" t="s">
        <v>578</v>
      </c>
      <c r="R53" s="2" t="s">
        <v>39</v>
      </c>
      <c r="S53" s="2" t="s">
        <v>39</v>
      </c>
      <c r="T53" s="2" t="s">
        <v>39</v>
      </c>
      <c r="U53" s="2" t="s">
        <v>40</v>
      </c>
      <c r="V53" s="2" t="s">
        <v>447</v>
      </c>
      <c r="W53" s="2" t="s">
        <v>55</v>
      </c>
    </row>
    <row r="54" spans="1:23" ht="27.6">
      <c r="A54" s="2" t="s">
        <v>579</v>
      </c>
      <c r="B54" s="2" t="s">
        <v>24</v>
      </c>
      <c r="C54" s="2">
        <v>2</v>
      </c>
      <c r="D54" s="2" t="s">
        <v>435</v>
      </c>
      <c r="E54" s="2" t="s">
        <v>436</v>
      </c>
      <c r="F54" s="2" t="s">
        <v>580</v>
      </c>
      <c r="G54" s="2" t="s">
        <v>581</v>
      </c>
      <c r="H54" s="2" t="s">
        <v>582</v>
      </c>
      <c r="I54" s="2" t="s">
        <v>583</v>
      </c>
      <c r="J54" s="2" t="s">
        <v>584</v>
      </c>
      <c r="K54" s="2" t="s">
        <v>76</v>
      </c>
      <c r="L54" s="2" t="s">
        <v>585</v>
      </c>
      <c r="M54" s="2" t="s">
        <v>586</v>
      </c>
      <c r="N54" s="2" t="s">
        <v>65</v>
      </c>
      <c r="O54" s="2" t="s">
        <v>587</v>
      </c>
      <c r="P54" s="2" t="s">
        <v>588</v>
      </c>
      <c r="Q54" s="2" t="s">
        <v>589</v>
      </c>
      <c r="R54" s="2" t="s">
        <v>39</v>
      </c>
      <c r="S54" s="2" t="s">
        <v>39</v>
      </c>
      <c r="T54" s="2" t="s">
        <v>39</v>
      </c>
      <c r="U54" s="2" t="s">
        <v>40</v>
      </c>
      <c r="V54" s="2" t="s">
        <v>447</v>
      </c>
      <c r="W54" s="2" t="s">
        <v>55</v>
      </c>
    </row>
    <row r="55" spans="1:23" ht="41.4">
      <c r="A55" s="2" t="s">
        <v>590</v>
      </c>
      <c r="B55" s="2" t="s">
        <v>24</v>
      </c>
      <c r="C55" s="2">
        <v>2</v>
      </c>
      <c r="D55" s="2" t="s">
        <v>435</v>
      </c>
      <c r="E55" s="2" t="s">
        <v>460</v>
      </c>
      <c r="F55" s="2" t="s">
        <v>591</v>
      </c>
      <c r="G55" s="2" t="s">
        <v>592</v>
      </c>
      <c r="H55" s="2" t="s">
        <v>593</v>
      </c>
      <c r="I55" s="2" t="s">
        <v>594</v>
      </c>
      <c r="J55" s="2" t="s">
        <v>595</v>
      </c>
      <c r="K55" s="2" t="s">
        <v>32</v>
      </c>
      <c r="L55" s="2" t="s">
        <v>596</v>
      </c>
      <c r="M55" s="2" t="s">
        <v>597</v>
      </c>
      <c r="N55" s="2" t="s">
        <v>65</v>
      </c>
      <c r="O55" s="2" t="s">
        <v>598</v>
      </c>
      <c r="P55" s="2" t="s">
        <v>599</v>
      </c>
      <c r="Q55" s="2" t="s">
        <v>600</v>
      </c>
      <c r="R55" s="2" t="s">
        <v>39</v>
      </c>
      <c r="S55" s="2" t="s">
        <v>39</v>
      </c>
      <c r="T55" s="2" t="s">
        <v>39</v>
      </c>
      <c r="U55" s="2" t="s">
        <v>40</v>
      </c>
      <c r="V55" s="2" t="s">
        <v>447</v>
      </c>
      <c r="W55" s="2" t="s">
        <v>55</v>
      </c>
    </row>
    <row r="56" spans="1:23" ht="41.4">
      <c r="A56" s="2" t="s">
        <v>601</v>
      </c>
      <c r="B56" s="2" t="s">
        <v>24</v>
      </c>
      <c r="C56" s="2">
        <v>2</v>
      </c>
      <c r="D56" s="2" t="s">
        <v>435</v>
      </c>
      <c r="E56" s="2" t="s">
        <v>436</v>
      </c>
      <c r="F56" s="2" t="s">
        <v>602</v>
      </c>
      <c r="G56" s="2" t="s">
        <v>603</v>
      </c>
      <c r="H56" s="2" t="s">
        <v>604</v>
      </c>
      <c r="I56" s="2" t="s">
        <v>450</v>
      </c>
      <c r="J56" s="2" t="s">
        <v>605</v>
      </c>
      <c r="K56" s="2" t="s">
        <v>76</v>
      </c>
      <c r="L56" s="2" t="s">
        <v>606</v>
      </c>
      <c r="M56" s="2" t="s">
        <v>607</v>
      </c>
      <c r="N56" s="2" t="s">
        <v>65</v>
      </c>
      <c r="O56" s="2" t="s">
        <v>608</v>
      </c>
      <c r="P56" s="2" t="s">
        <v>609</v>
      </c>
      <c r="Q56" s="2" t="s">
        <v>610</v>
      </c>
      <c r="R56" s="2" t="s">
        <v>39</v>
      </c>
      <c r="S56" s="2" t="s">
        <v>39</v>
      </c>
      <c r="T56" s="2" t="s">
        <v>39</v>
      </c>
      <c r="U56" s="2" t="s">
        <v>40</v>
      </c>
      <c r="V56" s="2" t="s">
        <v>447</v>
      </c>
      <c r="W56" s="2" t="s">
        <v>55</v>
      </c>
    </row>
    <row r="57" spans="1:23" ht="27.6">
      <c r="A57" s="2" t="s">
        <v>611</v>
      </c>
      <c r="B57" s="2" t="s">
        <v>24</v>
      </c>
      <c r="C57" s="2">
        <v>2</v>
      </c>
      <c r="D57" s="2" t="s">
        <v>435</v>
      </c>
      <c r="E57" s="2" t="s">
        <v>460</v>
      </c>
      <c r="F57" s="2" t="s">
        <v>612</v>
      </c>
      <c r="G57" s="2" t="s">
        <v>613</v>
      </c>
      <c r="H57" s="2" t="s">
        <v>614</v>
      </c>
      <c r="I57" s="2" t="s">
        <v>615</v>
      </c>
      <c r="J57" s="2" t="s">
        <v>616</v>
      </c>
      <c r="K57" s="2" t="s">
        <v>62</v>
      </c>
      <c r="L57" s="2" t="s">
        <v>617</v>
      </c>
      <c r="M57" s="2" t="s">
        <v>618</v>
      </c>
      <c r="N57" s="2" t="s">
        <v>191</v>
      </c>
      <c r="O57" s="2" t="s">
        <v>619</v>
      </c>
      <c r="P57" s="2" t="s">
        <v>620</v>
      </c>
      <c r="Q57" s="2" t="s">
        <v>621</v>
      </c>
      <c r="R57" s="2" t="s">
        <v>39</v>
      </c>
      <c r="S57" s="2" t="s">
        <v>39</v>
      </c>
      <c r="T57" s="2" t="s">
        <v>39</v>
      </c>
      <c r="U57" s="2" t="s">
        <v>40</v>
      </c>
      <c r="V57" s="2" t="s">
        <v>447</v>
      </c>
      <c r="W57" s="2" t="s">
        <v>42</v>
      </c>
    </row>
    <row r="58" spans="1:23" ht="55.2">
      <c r="A58" s="2" t="s">
        <v>622</v>
      </c>
      <c r="B58" s="2" t="s">
        <v>24</v>
      </c>
      <c r="C58" s="2">
        <v>2</v>
      </c>
      <c r="D58" s="2" t="s">
        <v>435</v>
      </c>
      <c r="E58" s="2" t="s">
        <v>495</v>
      </c>
      <c r="F58" s="2" t="s">
        <v>623</v>
      </c>
      <c r="G58" s="2" t="s">
        <v>624</v>
      </c>
      <c r="H58" s="2" t="s">
        <v>625</v>
      </c>
      <c r="I58" s="2" t="s">
        <v>626</v>
      </c>
      <c r="J58" s="2" t="s">
        <v>627</v>
      </c>
      <c r="K58" s="2" t="s">
        <v>32</v>
      </c>
      <c r="L58" s="2" t="s">
        <v>628</v>
      </c>
      <c r="M58" s="2" t="s">
        <v>629</v>
      </c>
      <c r="N58" s="2" t="s">
        <v>35</v>
      </c>
      <c r="O58" s="2" t="s">
        <v>630</v>
      </c>
      <c r="P58" s="2" t="s">
        <v>631</v>
      </c>
      <c r="Q58" s="2" t="s">
        <v>632</v>
      </c>
      <c r="R58" s="2" t="s">
        <v>39</v>
      </c>
      <c r="S58" s="2" t="s">
        <v>39</v>
      </c>
      <c r="T58" s="2" t="s">
        <v>39</v>
      </c>
      <c r="U58" s="2" t="s">
        <v>40</v>
      </c>
      <c r="V58" s="2" t="s">
        <v>447</v>
      </c>
      <c r="W58" s="2" t="s">
        <v>42</v>
      </c>
    </row>
    <row r="59" spans="1:23" ht="27.6">
      <c r="A59" s="2" t="s">
        <v>633</v>
      </c>
      <c r="B59" s="2" t="s">
        <v>24</v>
      </c>
      <c r="C59" s="2">
        <v>2</v>
      </c>
      <c r="D59" s="2" t="s">
        <v>435</v>
      </c>
      <c r="E59" s="2" t="s">
        <v>460</v>
      </c>
      <c r="F59" s="2" t="s">
        <v>634</v>
      </c>
      <c r="G59" s="2" t="s">
        <v>635</v>
      </c>
      <c r="H59" s="2" t="s">
        <v>636</v>
      </c>
      <c r="I59" s="2" t="s">
        <v>637</v>
      </c>
      <c r="J59" s="2" t="s">
        <v>638</v>
      </c>
      <c r="K59" s="2" t="s">
        <v>62</v>
      </c>
      <c r="L59" s="2" t="s">
        <v>639</v>
      </c>
      <c r="M59" s="2" t="s">
        <v>640</v>
      </c>
      <c r="N59" s="2" t="s">
        <v>65</v>
      </c>
      <c r="O59" s="2" t="s">
        <v>641</v>
      </c>
      <c r="P59" s="2" t="s">
        <v>642</v>
      </c>
      <c r="Q59" s="2" t="s">
        <v>643</v>
      </c>
      <c r="R59" s="2" t="s">
        <v>39</v>
      </c>
      <c r="S59" s="2" t="s">
        <v>39</v>
      </c>
      <c r="T59" s="2" t="s">
        <v>39</v>
      </c>
      <c r="U59" s="2" t="s">
        <v>40</v>
      </c>
      <c r="V59" s="2" t="s">
        <v>447</v>
      </c>
      <c r="W59" s="2" t="s">
        <v>55</v>
      </c>
    </row>
    <row r="60" spans="1:23" ht="55.2">
      <c r="A60" s="2" t="s">
        <v>644</v>
      </c>
      <c r="B60" s="2" t="s">
        <v>24</v>
      </c>
      <c r="C60" s="2">
        <v>2</v>
      </c>
      <c r="D60" s="2" t="s">
        <v>435</v>
      </c>
      <c r="E60" s="2" t="s">
        <v>460</v>
      </c>
      <c r="F60" s="2" t="s">
        <v>645</v>
      </c>
      <c r="G60" s="2" t="s">
        <v>646</v>
      </c>
      <c r="H60" s="2" t="s">
        <v>647</v>
      </c>
      <c r="I60" s="2" t="s">
        <v>648</v>
      </c>
      <c r="J60" s="2" t="s">
        <v>649</v>
      </c>
      <c r="K60" s="2" t="s">
        <v>32</v>
      </c>
      <c r="L60" s="2" t="s">
        <v>650</v>
      </c>
      <c r="M60" s="2" t="s">
        <v>651</v>
      </c>
      <c r="N60" s="2" t="s">
        <v>65</v>
      </c>
      <c r="O60" s="2" t="s">
        <v>652</v>
      </c>
      <c r="P60" s="2" t="s">
        <v>653</v>
      </c>
      <c r="Q60" s="2" t="s">
        <v>654</v>
      </c>
      <c r="R60" s="2" t="s">
        <v>39</v>
      </c>
      <c r="S60" s="2" t="s">
        <v>39</v>
      </c>
      <c r="T60" s="2" t="s">
        <v>39</v>
      </c>
      <c r="U60" s="2" t="s">
        <v>40</v>
      </c>
      <c r="V60" s="2" t="s">
        <v>447</v>
      </c>
      <c r="W60" s="2" t="s">
        <v>55</v>
      </c>
    </row>
    <row r="61" spans="1:23" ht="41.4">
      <c r="A61" s="2" t="s">
        <v>655</v>
      </c>
      <c r="B61" s="2" t="s">
        <v>24</v>
      </c>
      <c r="C61" s="2">
        <v>2</v>
      </c>
      <c r="D61" s="2" t="s">
        <v>435</v>
      </c>
      <c r="E61" s="2" t="s">
        <v>460</v>
      </c>
      <c r="F61" s="2" t="s">
        <v>656</v>
      </c>
      <c r="G61" s="2" t="s">
        <v>657</v>
      </c>
      <c r="H61" s="2" t="s">
        <v>658</v>
      </c>
      <c r="I61" s="2" t="s">
        <v>659</v>
      </c>
      <c r="J61" s="2" t="s">
        <v>138</v>
      </c>
      <c r="K61" s="2" t="s">
        <v>62</v>
      </c>
      <c r="L61" s="2" t="s">
        <v>660</v>
      </c>
      <c r="M61" s="2" t="s">
        <v>661</v>
      </c>
      <c r="N61" s="2" t="s">
        <v>35</v>
      </c>
      <c r="O61" s="2" t="s">
        <v>662</v>
      </c>
      <c r="P61" s="2" t="s">
        <v>663</v>
      </c>
      <c r="Q61" s="2" t="s">
        <v>578</v>
      </c>
      <c r="R61" s="2" t="s">
        <v>39</v>
      </c>
      <c r="S61" s="2" t="s">
        <v>39</v>
      </c>
      <c r="T61" s="2" t="s">
        <v>39</v>
      </c>
      <c r="U61" s="2" t="s">
        <v>40</v>
      </c>
      <c r="V61" s="2" t="s">
        <v>447</v>
      </c>
      <c r="W61" s="2" t="s">
        <v>55</v>
      </c>
    </row>
    <row r="62" spans="1:23" ht="41.4">
      <c r="A62" s="2" t="s">
        <v>664</v>
      </c>
      <c r="B62" s="2" t="s">
        <v>24</v>
      </c>
      <c r="C62" s="2">
        <v>2</v>
      </c>
      <c r="D62" s="2" t="s">
        <v>435</v>
      </c>
      <c r="E62" s="2" t="s">
        <v>472</v>
      </c>
      <c r="F62" s="2" t="s">
        <v>665</v>
      </c>
      <c r="G62" s="2" t="s">
        <v>666</v>
      </c>
      <c r="H62" s="2" t="s">
        <v>667</v>
      </c>
      <c r="I62" s="2" t="s">
        <v>668</v>
      </c>
      <c r="J62" s="2" t="s">
        <v>669</v>
      </c>
      <c r="K62" s="2" t="s">
        <v>76</v>
      </c>
      <c r="L62" s="2" t="s">
        <v>670</v>
      </c>
      <c r="M62" s="2" t="s">
        <v>671</v>
      </c>
      <c r="N62" s="2" t="s">
        <v>65</v>
      </c>
      <c r="O62" s="2" t="s">
        <v>672</v>
      </c>
      <c r="P62" s="2" t="s">
        <v>673</v>
      </c>
      <c r="Q62" s="2" t="s">
        <v>674</v>
      </c>
      <c r="R62" s="2" t="s">
        <v>39</v>
      </c>
      <c r="S62" s="2" t="s">
        <v>39</v>
      </c>
      <c r="T62" s="2" t="s">
        <v>39</v>
      </c>
      <c r="U62" s="2" t="s">
        <v>40</v>
      </c>
      <c r="V62" s="2" t="s">
        <v>447</v>
      </c>
      <c r="W62" s="2" t="s">
        <v>55</v>
      </c>
    </row>
    <row r="63" spans="1:23" ht="55.2">
      <c r="A63" s="2" t="s">
        <v>675</v>
      </c>
      <c r="B63" s="2" t="s">
        <v>24</v>
      </c>
      <c r="C63" s="2">
        <v>2</v>
      </c>
      <c r="D63" s="2" t="s">
        <v>435</v>
      </c>
      <c r="E63" s="2" t="s">
        <v>495</v>
      </c>
      <c r="F63" s="2" t="s">
        <v>676</v>
      </c>
      <c r="G63" s="2" t="s">
        <v>677</v>
      </c>
      <c r="H63" s="2" t="s">
        <v>678</v>
      </c>
      <c r="I63" s="2" t="s">
        <v>679</v>
      </c>
      <c r="J63" s="2" t="s">
        <v>680</v>
      </c>
      <c r="K63" s="2" t="s">
        <v>62</v>
      </c>
      <c r="L63" s="2" t="s">
        <v>681</v>
      </c>
      <c r="M63" s="2" t="s">
        <v>629</v>
      </c>
      <c r="N63" s="2" t="s">
        <v>65</v>
      </c>
      <c r="O63" s="2" t="s">
        <v>682</v>
      </c>
      <c r="P63" s="2" t="s">
        <v>683</v>
      </c>
      <c r="Q63" s="2" t="s">
        <v>684</v>
      </c>
      <c r="R63" s="2" t="s">
        <v>39</v>
      </c>
      <c r="S63" s="2" t="s">
        <v>39</v>
      </c>
      <c r="T63" s="2" t="s">
        <v>39</v>
      </c>
      <c r="U63" s="2" t="s">
        <v>40</v>
      </c>
      <c r="V63" s="2" t="s">
        <v>447</v>
      </c>
      <c r="W63" s="2" t="s">
        <v>55</v>
      </c>
    </row>
    <row r="64" spans="1:23" ht="41.4">
      <c r="A64" s="2" t="s">
        <v>685</v>
      </c>
      <c r="B64" s="2" t="s">
        <v>24</v>
      </c>
      <c r="C64" s="2">
        <v>2</v>
      </c>
      <c r="D64" s="2" t="s">
        <v>435</v>
      </c>
      <c r="E64" s="2" t="s">
        <v>472</v>
      </c>
      <c r="F64" s="2" t="s">
        <v>686</v>
      </c>
      <c r="G64" s="2" t="s">
        <v>687</v>
      </c>
      <c r="H64" s="2" t="s">
        <v>668</v>
      </c>
      <c r="I64" s="2" t="s">
        <v>688</v>
      </c>
      <c r="J64" s="2" t="s">
        <v>689</v>
      </c>
      <c r="K64" s="2" t="s">
        <v>62</v>
      </c>
      <c r="L64" s="2" t="s">
        <v>690</v>
      </c>
      <c r="M64" s="2" t="s">
        <v>691</v>
      </c>
      <c r="N64" s="2" t="s">
        <v>65</v>
      </c>
      <c r="O64" s="2" t="s">
        <v>692</v>
      </c>
      <c r="P64" s="2" t="s">
        <v>693</v>
      </c>
      <c r="Q64" s="2" t="s">
        <v>694</v>
      </c>
      <c r="R64" s="2" t="s">
        <v>39</v>
      </c>
      <c r="S64" s="2" t="s">
        <v>39</v>
      </c>
      <c r="T64" s="2" t="s">
        <v>39</v>
      </c>
      <c r="U64" s="2" t="s">
        <v>40</v>
      </c>
      <c r="V64" s="2" t="s">
        <v>447</v>
      </c>
      <c r="W64" s="2" t="s">
        <v>55</v>
      </c>
    </row>
    <row r="65" spans="1:23" ht="41.4">
      <c r="A65" s="2" t="s">
        <v>695</v>
      </c>
      <c r="B65" s="2" t="s">
        <v>24</v>
      </c>
      <c r="C65" s="2">
        <v>2</v>
      </c>
      <c r="D65" s="2" t="s">
        <v>435</v>
      </c>
      <c r="E65" s="2" t="s">
        <v>460</v>
      </c>
      <c r="F65" s="2" t="s">
        <v>696</v>
      </c>
      <c r="G65" s="2" t="s">
        <v>697</v>
      </c>
      <c r="H65" s="2" t="s">
        <v>698</v>
      </c>
      <c r="I65" s="2" t="s">
        <v>699</v>
      </c>
      <c r="J65" s="2" t="s">
        <v>700</v>
      </c>
      <c r="K65" s="2" t="s">
        <v>76</v>
      </c>
      <c r="L65" s="2" t="s">
        <v>701</v>
      </c>
      <c r="M65" s="2" t="s">
        <v>702</v>
      </c>
      <c r="N65" s="2" t="s">
        <v>35</v>
      </c>
      <c r="O65" s="2" t="s">
        <v>703</v>
      </c>
      <c r="P65" s="2" t="s">
        <v>704</v>
      </c>
      <c r="Q65" s="2" t="s">
        <v>705</v>
      </c>
      <c r="R65" s="2" t="s">
        <v>39</v>
      </c>
      <c r="S65" s="2" t="s">
        <v>39</v>
      </c>
      <c r="T65" s="2" t="s">
        <v>39</v>
      </c>
      <c r="U65" s="2" t="s">
        <v>40</v>
      </c>
      <c r="V65" s="2" t="s">
        <v>447</v>
      </c>
      <c r="W65" s="2" t="s">
        <v>55</v>
      </c>
    </row>
    <row r="66" spans="1:23" ht="27.6">
      <c r="A66" s="2" t="s">
        <v>706</v>
      </c>
      <c r="B66" s="2" t="s">
        <v>24</v>
      </c>
      <c r="C66" s="2">
        <v>2</v>
      </c>
      <c r="D66" s="2" t="s">
        <v>435</v>
      </c>
      <c r="E66" s="2" t="s">
        <v>460</v>
      </c>
      <c r="F66" s="2" t="s">
        <v>707</v>
      </c>
      <c r="G66" s="2" t="s">
        <v>708</v>
      </c>
      <c r="H66" s="2" t="s">
        <v>709</v>
      </c>
      <c r="I66" s="2" t="s">
        <v>710</v>
      </c>
      <c r="J66" s="2" t="s">
        <v>711</v>
      </c>
      <c r="K66" s="2" t="s">
        <v>62</v>
      </c>
      <c r="L66" s="2" t="s">
        <v>712</v>
      </c>
      <c r="M66" s="2" t="s">
        <v>713</v>
      </c>
      <c r="N66" s="2" t="s">
        <v>191</v>
      </c>
      <c r="O66" s="2" t="s">
        <v>619</v>
      </c>
      <c r="P66" s="2" t="s">
        <v>714</v>
      </c>
      <c r="Q66" s="2" t="s">
        <v>715</v>
      </c>
      <c r="R66" s="2" t="s">
        <v>39</v>
      </c>
      <c r="S66" s="2" t="s">
        <v>39</v>
      </c>
      <c r="T66" s="2" t="s">
        <v>39</v>
      </c>
      <c r="U66" s="2" t="s">
        <v>40</v>
      </c>
      <c r="V66" s="2" t="s">
        <v>447</v>
      </c>
      <c r="W66" s="2" t="s">
        <v>55</v>
      </c>
    </row>
    <row r="67" spans="1:23" ht="41.4">
      <c r="A67" s="2" t="s">
        <v>716</v>
      </c>
      <c r="B67" s="2" t="s">
        <v>24</v>
      </c>
      <c r="C67" s="2">
        <v>2</v>
      </c>
      <c r="D67" s="2" t="s">
        <v>435</v>
      </c>
      <c r="E67" s="2" t="s">
        <v>460</v>
      </c>
      <c r="F67" s="2" t="s">
        <v>717</v>
      </c>
      <c r="G67" s="2" t="s">
        <v>718</v>
      </c>
      <c r="H67" s="2" t="s">
        <v>719</v>
      </c>
      <c r="I67" s="2" t="s">
        <v>720</v>
      </c>
      <c r="J67" s="2" t="s">
        <v>721</v>
      </c>
      <c r="K67" s="2" t="s">
        <v>32</v>
      </c>
      <c r="L67" s="2" t="s">
        <v>722</v>
      </c>
      <c r="M67" s="2" t="s">
        <v>723</v>
      </c>
      <c r="N67" s="2" t="s">
        <v>191</v>
      </c>
      <c r="O67" s="2" t="s">
        <v>724</v>
      </c>
      <c r="P67" s="2" t="s">
        <v>725</v>
      </c>
      <c r="Q67" s="2" t="s">
        <v>726</v>
      </c>
      <c r="R67" s="2" t="s">
        <v>39</v>
      </c>
      <c r="S67" s="2" t="s">
        <v>39</v>
      </c>
      <c r="T67" s="2" t="s">
        <v>39</v>
      </c>
      <c r="U67" s="2" t="s">
        <v>40</v>
      </c>
      <c r="V67" s="2" t="s">
        <v>447</v>
      </c>
      <c r="W67" s="2" t="s">
        <v>42</v>
      </c>
    </row>
    <row r="68" spans="1:23" ht="41.4">
      <c r="A68" s="2" t="s">
        <v>727</v>
      </c>
      <c r="B68" s="2" t="s">
        <v>24</v>
      </c>
      <c r="C68" s="2">
        <v>2</v>
      </c>
      <c r="D68" s="2" t="s">
        <v>435</v>
      </c>
      <c r="E68" s="2" t="s">
        <v>460</v>
      </c>
      <c r="F68" s="2" t="s">
        <v>728</v>
      </c>
      <c r="G68" s="2" t="s">
        <v>729</v>
      </c>
      <c r="H68" s="2" t="s">
        <v>730</v>
      </c>
      <c r="I68" s="2" t="s">
        <v>731</v>
      </c>
      <c r="J68" s="2" t="s">
        <v>732</v>
      </c>
      <c r="K68" s="2" t="s">
        <v>76</v>
      </c>
      <c r="L68" s="2" t="s">
        <v>733</v>
      </c>
      <c r="M68" s="2" t="s">
        <v>734</v>
      </c>
      <c r="N68" s="2" t="s">
        <v>191</v>
      </c>
      <c r="O68" s="2" t="s">
        <v>735</v>
      </c>
      <c r="P68" s="2" t="s">
        <v>736</v>
      </c>
      <c r="Q68" s="2" t="s">
        <v>737</v>
      </c>
      <c r="R68" s="2" t="s">
        <v>39</v>
      </c>
      <c r="S68" s="2" t="s">
        <v>39</v>
      </c>
      <c r="T68" s="2" t="s">
        <v>39</v>
      </c>
      <c r="U68" s="2" t="s">
        <v>40</v>
      </c>
      <c r="V68" s="2" t="s">
        <v>447</v>
      </c>
      <c r="W68" s="2" t="s">
        <v>55</v>
      </c>
    </row>
    <row r="69" spans="1:23" ht="41.4">
      <c r="A69" s="2" t="s">
        <v>738</v>
      </c>
      <c r="B69" s="2" t="s">
        <v>24</v>
      </c>
      <c r="C69" s="2">
        <v>2</v>
      </c>
      <c r="D69" s="2" t="s">
        <v>435</v>
      </c>
      <c r="E69" s="2" t="s">
        <v>460</v>
      </c>
      <c r="F69" s="2" t="s">
        <v>739</v>
      </c>
      <c r="G69" s="2" t="s">
        <v>729</v>
      </c>
      <c r="H69" s="2" t="s">
        <v>740</v>
      </c>
      <c r="I69" s="2" t="s">
        <v>741</v>
      </c>
      <c r="J69" s="2" t="s">
        <v>742</v>
      </c>
      <c r="K69" s="2" t="s">
        <v>76</v>
      </c>
      <c r="L69" s="2" t="s">
        <v>743</v>
      </c>
      <c r="M69" s="2" t="s">
        <v>744</v>
      </c>
      <c r="N69" s="2" t="s">
        <v>191</v>
      </c>
      <c r="O69" s="2" t="s">
        <v>745</v>
      </c>
      <c r="P69" s="2" t="s">
        <v>746</v>
      </c>
      <c r="Q69" s="2" t="s">
        <v>536</v>
      </c>
      <c r="R69" s="2" t="s">
        <v>39</v>
      </c>
      <c r="S69" s="2" t="s">
        <v>39</v>
      </c>
      <c r="T69" s="2" t="s">
        <v>39</v>
      </c>
      <c r="U69" s="2" t="s">
        <v>40</v>
      </c>
      <c r="V69" s="2" t="s">
        <v>447</v>
      </c>
      <c r="W69" s="2" t="s">
        <v>55</v>
      </c>
    </row>
    <row r="70" spans="1:23" ht="27.6">
      <c r="A70" s="2" t="s">
        <v>747</v>
      </c>
      <c r="B70" s="2" t="s">
        <v>24</v>
      </c>
      <c r="C70" s="2">
        <v>2</v>
      </c>
      <c r="D70" s="2" t="s">
        <v>435</v>
      </c>
      <c r="E70" s="2" t="s">
        <v>460</v>
      </c>
      <c r="F70" s="2" t="s">
        <v>748</v>
      </c>
      <c r="G70" s="2" t="s">
        <v>528</v>
      </c>
      <c r="H70" s="2" t="s">
        <v>529</v>
      </c>
      <c r="I70" s="2" t="s">
        <v>749</v>
      </c>
      <c r="J70" s="2" t="s">
        <v>750</v>
      </c>
      <c r="K70" s="2" t="s">
        <v>88</v>
      </c>
      <c r="L70" s="2" t="s">
        <v>751</v>
      </c>
      <c r="M70" s="2" t="s">
        <v>752</v>
      </c>
      <c r="N70" s="2" t="s">
        <v>191</v>
      </c>
      <c r="O70" s="2" t="s">
        <v>753</v>
      </c>
      <c r="P70" s="2" t="s">
        <v>535</v>
      </c>
      <c r="Q70" s="2" t="s">
        <v>754</v>
      </c>
      <c r="R70" s="2" t="s">
        <v>39</v>
      </c>
      <c r="S70" s="2" t="s">
        <v>39</v>
      </c>
      <c r="T70" s="2" t="s">
        <v>39</v>
      </c>
      <c r="U70" s="2" t="s">
        <v>40</v>
      </c>
      <c r="V70" s="2" t="s">
        <v>447</v>
      </c>
      <c r="W70" s="2" t="s">
        <v>55</v>
      </c>
    </row>
    <row r="71" spans="1:23" ht="27.6">
      <c r="A71" s="2" t="s">
        <v>755</v>
      </c>
      <c r="B71" s="2" t="s">
        <v>24</v>
      </c>
      <c r="C71" s="2">
        <v>2</v>
      </c>
      <c r="D71" s="2" t="s">
        <v>435</v>
      </c>
      <c r="E71" s="2" t="s">
        <v>472</v>
      </c>
      <c r="F71" s="2" t="s">
        <v>756</v>
      </c>
      <c r="G71" s="2" t="s">
        <v>757</v>
      </c>
      <c r="H71" s="2" t="s">
        <v>758</v>
      </c>
      <c r="I71" s="2" t="s">
        <v>759</v>
      </c>
      <c r="J71" s="2" t="s">
        <v>760</v>
      </c>
      <c r="K71" s="2" t="s">
        <v>76</v>
      </c>
      <c r="L71" s="2" t="s">
        <v>761</v>
      </c>
      <c r="M71" s="2" t="s">
        <v>762</v>
      </c>
      <c r="N71" s="2" t="s">
        <v>191</v>
      </c>
      <c r="O71" s="2" t="s">
        <v>555</v>
      </c>
      <c r="P71" s="2" t="s">
        <v>763</v>
      </c>
      <c r="Q71" s="2" t="s">
        <v>764</v>
      </c>
      <c r="R71" s="2" t="s">
        <v>39</v>
      </c>
      <c r="S71" s="2" t="s">
        <v>39</v>
      </c>
      <c r="T71" s="2" t="s">
        <v>39</v>
      </c>
      <c r="U71" s="2" t="s">
        <v>40</v>
      </c>
      <c r="V71" s="2" t="s">
        <v>447</v>
      </c>
      <c r="W71" s="2" t="s">
        <v>55</v>
      </c>
    </row>
    <row r="72" spans="1:23" ht="41.4">
      <c r="A72" s="2" t="s">
        <v>765</v>
      </c>
      <c r="B72" s="2" t="s">
        <v>24</v>
      </c>
      <c r="C72" s="2">
        <v>2</v>
      </c>
      <c r="D72" s="2" t="s">
        <v>435</v>
      </c>
      <c r="E72" s="2" t="s">
        <v>460</v>
      </c>
      <c r="F72" s="2" t="s">
        <v>766</v>
      </c>
      <c r="G72" s="2" t="s">
        <v>729</v>
      </c>
      <c r="H72" s="2" t="s">
        <v>767</v>
      </c>
      <c r="I72" s="2" t="s">
        <v>768</v>
      </c>
      <c r="J72" s="2" t="s">
        <v>769</v>
      </c>
      <c r="K72" s="2" t="s">
        <v>76</v>
      </c>
      <c r="L72" s="2" t="s">
        <v>770</v>
      </c>
      <c r="M72" s="2" t="s">
        <v>771</v>
      </c>
      <c r="N72" s="2" t="s">
        <v>191</v>
      </c>
      <c r="O72" s="2" t="s">
        <v>772</v>
      </c>
      <c r="P72" s="2" t="s">
        <v>773</v>
      </c>
      <c r="Q72" s="2" t="s">
        <v>774</v>
      </c>
      <c r="R72" s="2" t="s">
        <v>39</v>
      </c>
      <c r="S72" s="2" t="s">
        <v>39</v>
      </c>
      <c r="T72" s="2" t="s">
        <v>39</v>
      </c>
      <c r="U72" s="2" t="s">
        <v>40</v>
      </c>
      <c r="V72" s="2" t="s">
        <v>447</v>
      </c>
      <c r="W72" s="2" t="s">
        <v>55</v>
      </c>
    </row>
    <row r="73" spans="1:23" ht="41.4">
      <c r="A73" s="2" t="s">
        <v>775</v>
      </c>
      <c r="B73" s="2" t="s">
        <v>24</v>
      </c>
      <c r="C73" s="2">
        <v>2</v>
      </c>
      <c r="D73" s="2" t="s">
        <v>435</v>
      </c>
      <c r="E73" s="2" t="s">
        <v>460</v>
      </c>
      <c r="F73" s="2" t="s">
        <v>776</v>
      </c>
      <c r="G73" s="2" t="s">
        <v>777</v>
      </c>
      <c r="H73" s="2" t="s">
        <v>778</v>
      </c>
      <c r="I73" s="2" t="s">
        <v>779</v>
      </c>
      <c r="J73" s="2" t="s">
        <v>780</v>
      </c>
      <c r="K73" s="2" t="s">
        <v>88</v>
      </c>
      <c r="L73" s="2" t="s">
        <v>781</v>
      </c>
      <c r="M73" s="2" t="s">
        <v>782</v>
      </c>
      <c r="N73" s="2" t="s">
        <v>191</v>
      </c>
      <c r="O73" s="2" t="s">
        <v>783</v>
      </c>
      <c r="P73" s="2" t="s">
        <v>784</v>
      </c>
      <c r="Q73" s="2" t="s">
        <v>785</v>
      </c>
      <c r="R73" s="2" t="s">
        <v>39</v>
      </c>
      <c r="S73" s="2" t="s">
        <v>39</v>
      </c>
      <c r="T73" s="2" t="s">
        <v>39</v>
      </c>
      <c r="U73" s="2" t="s">
        <v>40</v>
      </c>
      <c r="V73" s="2" t="s">
        <v>447</v>
      </c>
      <c r="W73" s="2" t="s">
        <v>55</v>
      </c>
    </row>
    <row r="74" spans="1:23" ht="55.2">
      <c r="A74" s="2" t="s">
        <v>786</v>
      </c>
      <c r="B74" s="2" t="s">
        <v>24</v>
      </c>
      <c r="C74" s="2">
        <v>2</v>
      </c>
      <c r="D74" s="2" t="s">
        <v>435</v>
      </c>
      <c r="E74" s="2" t="s">
        <v>472</v>
      </c>
      <c r="F74" s="2" t="s">
        <v>787</v>
      </c>
      <c r="G74" s="2" t="s">
        <v>592</v>
      </c>
      <c r="H74" s="2" t="s">
        <v>788</v>
      </c>
      <c r="I74" s="2" t="s">
        <v>789</v>
      </c>
      <c r="J74" s="2" t="s">
        <v>790</v>
      </c>
      <c r="K74" s="2" t="s">
        <v>62</v>
      </c>
      <c r="L74" s="2" t="s">
        <v>791</v>
      </c>
      <c r="M74" s="2" t="s">
        <v>792</v>
      </c>
      <c r="N74" s="2" t="s">
        <v>191</v>
      </c>
      <c r="O74" s="2" t="s">
        <v>793</v>
      </c>
      <c r="P74" s="2" t="s">
        <v>794</v>
      </c>
      <c r="Q74" s="2" t="s">
        <v>795</v>
      </c>
      <c r="R74" s="2" t="s">
        <v>39</v>
      </c>
      <c r="S74" s="2" t="s">
        <v>39</v>
      </c>
      <c r="T74" s="2" t="s">
        <v>39</v>
      </c>
      <c r="U74" s="2" t="s">
        <v>40</v>
      </c>
      <c r="V74" s="2" t="s">
        <v>447</v>
      </c>
      <c r="W74" s="2" t="s">
        <v>55</v>
      </c>
    </row>
    <row r="75" spans="1:23" ht="41.4">
      <c r="A75" s="2" t="s">
        <v>796</v>
      </c>
      <c r="B75" s="2" t="s">
        <v>24</v>
      </c>
      <c r="C75" s="2">
        <v>2</v>
      </c>
      <c r="D75" s="2" t="s">
        <v>435</v>
      </c>
      <c r="E75" s="2" t="s">
        <v>472</v>
      </c>
      <c r="F75" s="2" t="s">
        <v>797</v>
      </c>
      <c r="G75" s="2" t="s">
        <v>592</v>
      </c>
      <c r="H75" s="2" t="s">
        <v>798</v>
      </c>
      <c r="I75" s="2" t="s">
        <v>799</v>
      </c>
      <c r="J75" s="2" t="s">
        <v>789</v>
      </c>
      <c r="K75" s="2" t="s">
        <v>32</v>
      </c>
      <c r="L75" s="2" t="s">
        <v>800</v>
      </c>
      <c r="M75" s="2" t="s">
        <v>801</v>
      </c>
      <c r="N75" s="2" t="s">
        <v>191</v>
      </c>
      <c r="O75" s="2" t="s">
        <v>802</v>
      </c>
      <c r="P75" s="2" t="s">
        <v>803</v>
      </c>
      <c r="Q75" s="2" t="s">
        <v>804</v>
      </c>
      <c r="R75" s="2" t="s">
        <v>39</v>
      </c>
      <c r="S75" s="2" t="s">
        <v>39</v>
      </c>
      <c r="T75" s="2" t="s">
        <v>39</v>
      </c>
      <c r="U75" s="2" t="s">
        <v>40</v>
      </c>
      <c r="V75" s="2" t="s">
        <v>447</v>
      </c>
      <c r="W75" s="2" t="s">
        <v>55</v>
      </c>
    </row>
    <row r="76" spans="1:23" ht="41.4">
      <c r="A76" s="2" t="s">
        <v>805</v>
      </c>
      <c r="B76" s="2" t="s">
        <v>24</v>
      </c>
      <c r="C76" s="2">
        <v>2</v>
      </c>
      <c r="D76" s="2" t="s">
        <v>435</v>
      </c>
      <c r="E76" s="2" t="s">
        <v>472</v>
      </c>
      <c r="F76" s="2" t="s">
        <v>806</v>
      </c>
      <c r="G76" s="2" t="s">
        <v>807</v>
      </c>
      <c r="H76" s="2" t="s">
        <v>616</v>
      </c>
      <c r="I76" s="5" t="s">
        <v>808</v>
      </c>
      <c r="J76" s="2" t="s">
        <v>809</v>
      </c>
      <c r="K76" s="2" t="s">
        <v>32</v>
      </c>
      <c r="L76" s="2" t="s">
        <v>810</v>
      </c>
      <c r="M76" s="2" t="s">
        <v>811</v>
      </c>
      <c r="N76" s="2" t="s">
        <v>65</v>
      </c>
      <c r="O76" s="2" t="s">
        <v>555</v>
      </c>
      <c r="P76" s="2" t="s">
        <v>812</v>
      </c>
      <c r="Q76" s="2" t="s">
        <v>804</v>
      </c>
      <c r="R76" s="2" t="s">
        <v>39</v>
      </c>
      <c r="S76" s="2" t="s">
        <v>39</v>
      </c>
      <c r="T76" s="2" t="s">
        <v>39</v>
      </c>
      <c r="U76" s="2" t="s">
        <v>40</v>
      </c>
      <c r="V76" s="2" t="s">
        <v>447</v>
      </c>
      <c r="W76" s="2" t="s">
        <v>55</v>
      </c>
    </row>
    <row r="77" spans="1:23" ht="41.4">
      <c r="A77" s="2" t="s">
        <v>813</v>
      </c>
      <c r="B77" s="2" t="s">
        <v>24</v>
      </c>
      <c r="C77" s="2">
        <v>2</v>
      </c>
      <c r="D77" s="2" t="s">
        <v>435</v>
      </c>
      <c r="E77" s="2" t="s">
        <v>460</v>
      </c>
      <c r="F77" s="2" t="s">
        <v>814</v>
      </c>
      <c r="G77" s="2" t="s">
        <v>815</v>
      </c>
      <c r="H77" s="2" t="s">
        <v>816</v>
      </c>
      <c r="I77" s="2" t="s">
        <v>817</v>
      </c>
      <c r="J77" s="2" t="s">
        <v>818</v>
      </c>
      <c r="K77" s="2" t="s">
        <v>88</v>
      </c>
      <c r="L77" s="2" t="s">
        <v>819</v>
      </c>
      <c r="M77" s="2" t="s">
        <v>820</v>
      </c>
      <c r="N77" s="2" t="s">
        <v>65</v>
      </c>
      <c r="O77" s="2" t="s">
        <v>821</v>
      </c>
      <c r="P77" s="2" t="s">
        <v>822</v>
      </c>
      <c r="Q77" s="2" t="s">
        <v>823</v>
      </c>
      <c r="R77" s="2" t="s">
        <v>39</v>
      </c>
      <c r="S77" s="2" t="s">
        <v>39</v>
      </c>
      <c r="T77" s="2" t="s">
        <v>39</v>
      </c>
      <c r="U77" s="2" t="s">
        <v>40</v>
      </c>
      <c r="V77" s="2" t="s">
        <v>447</v>
      </c>
      <c r="W77" s="2" t="s">
        <v>55</v>
      </c>
    </row>
    <row r="78" spans="1:23" ht="41.4">
      <c r="A78" s="2" t="s">
        <v>824</v>
      </c>
      <c r="B78" s="2" t="s">
        <v>24</v>
      </c>
      <c r="C78" s="2">
        <v>2</v>
      </c>
      <c r="D78" s="2" t="s">
        <v>435</v>
      </c>
      <c r="E78" s="2" t="s">
        <v>460</v>
      </c>
      <c r="F78" s="2" t="s">
        <v>825</v>
      </c>
      <c r="G78" s="2" t="s">
        <v>826</v>
      </c>
      <c r="H78" s="2" t="s">
        <v>827</v>
      </c>
      <c r="I78" s="2" t="s">
        <v>828</v>
      </c>
      <c r="J78" s="2" t="s">
        <v>829</v>
      </c>
      <c r="K78" s="2" t="s">
        <v>76</v>
      </c>
      <c r="L78" s="2" t="s">
        <v>830</v>
      </c>
      <c r="M78" s="2" t="s">
        <v>831</v>
      </c>
      <c r="N78" s="2" t="s">
        <v>191</v>
      </c>
      <c r="O78" s="2" t="s">
        <v>832</v>
      </c>
      <c r="P78" s="2" t="s">
        <v>833</v>
      </c>
      <c r="Q78" s="2" t="s">
        <v>834</v>
      </c>
      <c r="R78" s="2" t="s">
        <v>39</v>
      </c>
      <c r="S78" s="2" t="s">
        <v>39</v>
      </c>
      <c r="T78" s="2" t="s">
        <v>39</v>
      </c>
      <c r="U78" s="2" t="s">
        <v>40</v>
      </c>
      <c r="V78" s="2" t="s">
        <v>447</v>
      </c>
      <c r="W78" s="2" t="s">
        <v>55</v>
      </c>
    </row>
    <row r="79" spans="1:23" ht="55.2">
      <c r="A79" s="2" t="s">
        <v>835</v>
      </c>
      <c r="B79" s="2" t="s">
        <v>24</v>
      </c>
      <c r="C79" s="2">
        <v>2</v>
      </c>
      <c r="D79" s="2" t="s">
        <v>435</v>
      </c>
      <c r="E79" s="2" t="s">
        <v>460</v>
      </c>
      <c r="F79" s="2" t="s">
        <v>836</v>
      </c>
      <c r="G79" s="2" t="s">
        <v>837</v>
      </c>
      <c r="H79" s="2" t="s">
        <v>148</v>
      </c>
      <c r="I79" s="2" t="s">
        <v>838</v>
      </c>
      <c r="J79" s="2" t="s">
        <v>839</v>
      </c>
      <c r="K79" s="2" t="s">
        <v>88</v>
      </c>
      <c r="L79" s="2" t="s">
        <v>840</v>
      </c>
      <c r="M79" s="2" t="s">
        <v>841</v>
      </c>
      <c r="N79" s="2" t="s">
        <v>191</v>
      </c>
      <c r="O79" s="2" t="s">
        <v>842</v>
      </c>
      <c r="P79" s="2" t="s">
        <v>843</v>
      </c>
      <c r="Q79" s="2" t="s">
        <v>844</v>
      </c>
      <c r="R79" s="2" t="s">
        <v>39</v>
      </c>
      <c r="S79" s="2" t="s">
        <v>39</v>
      </c>
      <c r="T79" s="2" t="s">
        <v>39</v>
      </c>
      <c r="U79" s="2" t="s">
        <v>40</v>
      </c>
      <c r="V79" s="2" t="s">
        <v>447</v>
      </c>
      <c r="W79" s="2" t="s">
        <v>55</v>
      </c>
    </row>
    <row r="80" spans="1:23" ht="55.2">
      <c r="A80" s="2" t="s">
        <v>845</v>
      </c>
      <c r="B80" s="2" t="s">
        <v>24</v>
      </c>
      <c r="C80" s="2">
        <v>2</v>
      </c>
      <c r="D80" s="2" t="s">
        <v>435</v>
      </c>
      <c r="E80" s="2" t="s">
        <v>460</v>
      </c>
      <c r="F80" s="2" t="s">
        <v>846</v>
      </c>
      <c r="G80" s="2" t="s">
        <v>847</v>
      </c>
      <c r="H80" s="2" t="s">
        <v>848</v>
      </c>
      <c r="I80" s="2" t="s">
        <v>849</v>
      </c>
      <c r="J80" s="2" t="s">
        <v>850</v>
      </c>
      <c r="K80" s="2" t="s">
        <v>76</v>
      </c>
      <c r="L80" s="2" t="s">
        <v>851</v>
      </c>
      <c r="M80" s="2" t="s">
        <v>852</v>
      </c>
      <c r="N80" s="2" t="s">
        <v>191</v>
      </c>
      <c r="O80" s="2" t="s">
        <v>842</v>
      </c>
      <c r="P80" s="2" t="s">
        <v>853</v>
      </c>
      <c r="Q80" s="2" t="s">
        <v>854</v>
      </c>
      <c r="R80" s="2" t="s">
        <v>39</v>
      </c>
      <c r="S80" s="2" t="s">
        <v>39</v>
      </c>
      <c r="T80" s="2" t="s">
        <v>39</v>
      </c>
      <c r="U80" s="2" t="s">
        <v>40</v>
      </c>
      <c r="V80" s="2" t="s">
        <v>447</v>
      </c>
      <c r="W80" s="2" t="s">
        <v>42</v>
      </c>
    </row>
    <row r="81" spans="1:23" ht="41.4">
      <c r="A81" s="2" t="s">
        <v>855</v>
      </c>
      <c r="B81" s="2" t="s">
        <v>24</v>
      </c>
      <c r="C81" s="2">
        <v>2</v>
      </c>
      <c r="D81" s="2" t="s">
        <v>435</v>
      </c>
      <c r="E81" s="2" t="s">
        <v>460</v>
      </c>
      <c r="F81" s="2" t="s">
        <v>856</v>
      </c>
      <c r="G81" s="2" t="s">
        <v>857</v>
      </c>
      <c r="H81" s="2" t="s">
        <v>858</v>
      </c>
      <c r="I81" s="2" t="s">
        <v>859</v>
      </c>
      <c r="J81" s="2" t="s">
        <v>860</v>
      </c>
      <c r="K81" s="2" t="s">
        <v>88</v>
      </c>
      <c r="L81" s="2" t="s">
        <v>861</v>
      </c>
      <c r="M81" s="2" t="s">
        <v>862</v>
      </c>
      <c r="N81" s="2" t="s">
        <v>191</v>
      </c>
      <c r="O81" s="2" t="s">
        <v>842</v>
      </c>
      <c r="P81" s="2" t="s">
        <v>863</v>
      </c>
      <c r="Q81" s="2" t="s">
        <v>864</v>
      </c>
      <c r="R81" s="2" t="s">
        <v>39</v>
      </c>
      <c r="S81" s="2" t="s">
        <v>39</v>
      </c>
      <c r="T81" s="2" t="s">
        <v>39</v>
      </c>
      <c r="U81" s="2" t="s">
        <v>40</v>
      </c>
      <c r="V81" s="2" t="s">
        <v>447</v>
      </c>
      <c r="W81" s="2" t="s">
        <v>55</v>
      </c>
    </row>
    <row r="82" spans="1:23" ht="27.6">
      <c r="A82" s="2" t="s">
        <v>865</v>
      </c>
      <c r="B82" s="2" t="s">
        <v>24</v>
      </c>
      <c r="C82" s="2">
        <v>2</v>
      </c>
      <c r="D82" s="2" t="s">
        <v>435</v>
      </c>
      <c r="E82" s="2" t="s">
        <v>460</v>
      </c>
      <c r="F82" s="2" t="s">
        <v>866</v>
      </c>
      <c r="G82" s="2" t="s">
        <v>867</v>
      </c>
      <c r="H82" s="2" t="s">
        <v>868</v>
      </c>
      <c r="I82" s="2" t="s">
        <v>869</v>
      </c>
      <c r="J82" s="2" t="s">
        <v>870</v>
      </c>
      <c r="K82" s="2" t="s">
        <v>76</v>
      </c>
      <c r="L82" s="2" t="s">
        <v>871</v>
      </c>
      <c r="M82" s="2" t="s">
        <v>872</v>
      </c>
      <c r="N82" s="2" t="s">
        <v>191</v>
      </c>
      <c r="O82" s="2" t="s">
        <v>842</v>
      </c>
      <c r="P82" s="2" t="s">
        <v>873</v>
      </c>
      <c r="Q82" s="2" t="s">
        <v>864</v>
      </c>
      <c r="R82" s="2" t="s">
        <v>39</v>
      </c>
      <c r="S82" s="2" t="s">
        <v>39</v>
      </c>
      <c r="T82" s="2" t="s">
        <v>39</v>
      </c>
      <c r="U82" s="2" t="s">
        <v>40</v>
      </c>
      <c r="V82" s="2" t="s">
        <v>447</v>
      </c>
      <c r="W82" s="2" t="s">
        <v>55</v>
      </c>
    </row>
    <row r="83" spans="1:23" ht="41.4">
      <c r="A83" s="2" t="s">
        <v>874</v>
      </c>
      <c r="B83" s="2" t="s">
        <v>24</v>
      </c>
      <c r="C83" s="2">
        <v>2</v>
      </c>
      <c r="D83" s="2" t="s">
        <v>435</v>
      </c>
      <c r="E83" s="2" t="s">
        <v>460</v>
      </c>
      <c r="F83" s="2" t="s">
        <v>875</v>
      </c>
      <c r="G83" s="2" t="s">
        <v>778</v>
      </c>
      <c r="H83" s="2" t="s">
        <v>876</v>
      </c>
      <c r="I83" s="2" t="s">
        <v>777</v>
      </c>
      <c r="J83" s="2" t="s">
        <v>877</v>
      </c>
      <c r="K83" s="2" t="s">
        <v>88</v>
      </c>
      <c r="L83" s="2" t="s">
        <v>878</v>
      </c>
      <c r="M83" s="2" t="s">
        <v>879</v>
      </c>
      <c r="N83" s="2" t="s">
        <v>65</v>
      </c>
      <c r="O83" s="2" t="s">
        <v>880</v>
      </c>
      <c r="P83" s="2" t="s">
        <v>881</v>
      </c>
      <c r="Q83" s="2" t="s">
        <v>823</v>
      </c>
      <c r="R83" s="2" t="s">
        <v>39</v>
      </c>
      <c r="S83" s="2" t="s">
        <v>39</v>
      </c>
      <c r="T83" s="2" t="s">
        <v>39</v>
      </c>
      <c r="U83" s="2" t="s">
        <v>40</v>
      </c>
      <c r="V83" s="2" t="s">
        <v>447</v>
      </c>
      <c r="W83" s="2" t="s">
        <v>55</v>
      </c>
    </row>
    <row r="84" spans="1:23" ht="57">
      <c r="A84" s="2" t="s">
        <v>882</v>
      </c>
      <c r="B84" s="2" t="s">
        <v>24</v>
      </c>
      <c r="C84" s="2">
        <v>2</v>
      </c>
      <c r="D84" s="2" t="s">
        <v>435</v>
      </c>
      <c r="E84" s="2" t="s">
        <v>460</v>
      </c>
      <c r="F84" s="2" t="s">
        <v>883</v>
      </c>
      <c r="G84" s="2" t="s">
        <v>884</v>
      </c>
      <c r="H84" s="2" t="s">
        <v>885</v>
      </c>
      <c r="I84" s="2" t="s">
        <v>886</v>
      </c>
      <c r="J84" s="2" t="s">
        <v>887</v>
      </c>
      <c r="K84" s="2" t="s">
        <v>62</v>
      </c>
      <c r="L84" s="2" t="s">
        <v>888</v>
      </c>
      <c r="M84" s="2" t="s">
        <v>889</v>
      </c>
      <c r="N84" s="2" t="s">
        <v>191</v>
      </c>
      <c r="O84" s="2" t="s">
        <v>890</v>
      </c>
      <c r="P84" s="2" t="s">
        <v>891</v>
      </c>
      <c r="Q84" s="2" t="s">
        <v>892</v>
      </c>
      <c r="R84" s="2" t="s">
        <v>39</v>
      </c>
      <c r="S84" s="2" t="s">
        <v>39</v>
      </c>
      <c r="T84" s="2" t="s">
        <v>39</v>
      </c>
      <c r="U84" s="2" t="s">
        <v>40</v>
      </c>
      <c r="V84" s="2" t="s">
        <v>447</v>
      </c>
      <c r="W84" s="2" t="s">
        <v>55</v>
      </c>
    </row>
    <row r="85" spans="1:23" ht="57">
      <c r="A85" s="2" t="s">
        <v>893</v>
      </c>
      <c r="B85" s="2" t="s">
        <v>24</v>
      </c>
      <c r="C85" s="2">
        <v>2</v>
      </c>
      <c r="D85" s="2" t="s">
        <v>435</v>
      </c>
      <c r="E85" s="2" t="s">
        <v>460</v>
      </c>
      <c r="F85" s="2" t="s">
        <v>894</v>
      </c>
      <c r="G85" s="2" t="s">
        <v>884</v>
      </c>
      <c r="H85" s="2" t="s">
        <v>887</v>
      </c>
      <c r="I85" s="2" t="s">
        <v>885</v>
      </c>
      <c r="J85" s="2" t="s">
        <v>895</v>
      </c>
      <c r="K85" s="2" t="s">
        <v>88</v>
      </c>
      <c r="L85" s="2" t="s">
        <v>896</v>
      </c>
      <c r="M85" s="2" t="s">
        <v>889</v>
      </c>
      <c r="N85" s="2" t="s">
        <v>191</v>
      </c>
      <c r="O85" s="2" t="s">
        <v>890</v>
      </c>
      <c r="P85" s="2" t="s">
        <v>897</v>
      </c>
      <c r="Q85" s="2" t="s">
        <v>898</v>
      </c>
      <c r="R85" s="2" t="s">
        <v>39</v>
      </c>
      <c r="S85" s="2" t="s">
        <v>39</v>
      </c>
      <c r="T85" s="2" t="s">
        <v>39</v>
      </c>
      <c r="U85" s="2" t="s">
        <v>40</v>
      </c>
      <c r="V85" s="2" t="s">
        <v>447</v>
      </c>
      <c r="W85" s="2" t="s">
        <v>55</v>
      </c>
    </row>
    <row r="86" spans="1:23" ht="41.4">
      <c r="A86" s="2" t="s">
        <v>899</v>
      </c>
      <c r="B86" s="2" t="s">
        <v>24</v>
      </c>
      <c r="C86" s="2">
        <v>2</v>
      </c>
      <c r="D86" s="2" t="s">
        <v>435</v>
      </c>
      <c r="E86" s="2" t="s">
        <v>460</v>
      </c>
      <c r="F86" s="2" t="s">
        <v>900</v>
      </c>
      <c r="G86" s="2" t="s">
        <v>901</v>
      </c>
      <c r="H86" s="2" t="s">
        <v>902</v>
      </c>
      <c r="I86" s="2" t="s">
        <v>903</v>
      </c>
      <c r="J86" s="2" t="s">
        <v>904</v>
      </c>
      <c r="K86" s="2" t="s">
        <v>88</v>
      </c>
      <c r="L86" s="2" t="s">
        <v>905</v>
      </c>
      <c r="M86" s="2" t="s">
        <v>906</v>
      </c>
      <c r="N86" s="2" t="s">
        <v>191</v>
      </c>
      <c r="O86" s="2" t="s">
        <v>907</v>
      </c>
      <c r="P86" s="2" t="s">
        <v>908</v>
      </c>
      <c r="Q86" s="2" t="s">
        <v>909</v>
      </c>
      <c r="R86" s="2" t="s">
        <v>39</v>
      </c>
      <c r="S86" s="2" t="s">
        <v>39</v>
      </c>
      <c r="T86" s="2" t="s">
        <v>39</v>
      </c>
      <c r="U86" s="2" t="s">
        <v>40</v>
      </c>
      <c r="V86" s="2" t="s">
        <v>447</v>
      </c>
      <c r="W86" s="2" t="s">
        <v>42</v>
      </c>
    </row>
    <row r="87" spans="1:23" ht="41.4">
      <c r="A87" s="2" t="s">
        <v>910</v>
      </c>
      <c r="B87" s="2" t="s">
        <v>24</v>
      </c>
      <c r="C87" s="2">
        <v>2</v>
      </c>
      <c r="D87" s="2" t="s">
        <v>435</v>
      </c>
      <c r="E87" s="2" t="s">
        <v>460</v>
      </c>
      <c r="F87" s="2" t="s">
        <v>911</v>
      </c>
      <c r="G87" s="2" t="s">
        <v>912</v>
      </c>
      <c r="H87" s="2" t="s">
        <v>913</v>
      </c>
      <c r="I87" s="2" t="s">
        <v>914</v>
      </c>
      <c r="J87" s="2" t="s">
        <v>915</v>
      </c>
      <c r="K87" s="2" t="s">
        <v>76</v>
      </c>
      <c r="L87" s="2" t="s">
        <v>916</v>
      </c>
      <c r="M87" s="2" t="s">
        <v>917</v>
      </c>
      <c r="N87" s="2" t="s">
        <v>191</v>
      </c>
      <c r="O87" s="2" t="s">
        <v>918</v>
      </c>
      <c r="P87" s="2" t="s">
        <v>919</v>
      </c>
      <c r="Q87" s="2" t="s">
        <v>920</v>
      </c>
      <c r="R87" s="2" t="s">
        <v>39</v>
      </c>
      <c r="S87" s="2" t="s">
        <v>39</v>
      </c>
      <c r="T87" s="2" t="s">
        <v>39</v>
      </c>
      <c r="U87" s="2" t="s">
        <v>40</v>
      </c>
      <c r="V87" s="2" t="s">
        <v>447</v>
      </c>
      <c r="W87" s="2" t="s">
        <v>42</v>
      </c>
    </row>
    <row r="88" spans="1:23" ht="41.4">
      <c r="A88" s="2" t="s">
        <v>921</v>
      </c>
      <c r="B88" s="2" t="s">
        <v>24</v>
      </c>
      <c r="C88" s="2">
        <v>2</v>
      </c>
      <c r="D88" s="2" t="s">
        <v>435</v>
      </c>
      <c r="E88" s="2" t="s">
        <v>495</v>
      </c>
      <c r="F88" s="2" t="s">
        <v>922</v>
      </c>
      <c r="G88" s="2" t="s">
        <v>923</v>
      </c>
      <c r="H88" s="2" t="s">
        <v>924</v>
      </c>
      <c r="I88" s="2" t="s">
        <v>925</v>
      </c>
      <c r="J88" s="2" t="s">
        <v>926</v>
      </c>
      <c r="K88" s="2" t="s">
        <v>88</v>
      </c>
      <c r="L88" s="2" t="s">
        <v>927</v>
      </c>
      <c r="M88" s="2" t="s">
        <v>928</v>
      </c>
      <c r="N88" s="2" t="s">
        <v>191</v>
      </c>
      <c r="O88" s="2" t="s">
        <v>929</v>
      </c>
      <c r="P88" s="2" t="s">
        <v>930</v>
      </c>
      <c r="Q88" s="2" t="s">
        <v>931</v>
      </c>
      <c r="R88" s="2" t="s">
        <v>39</v>
      </c>
      <c r="S88" s="2" t="s">
        <v>39</v>
      </c>
      <c r="T88" s="2" t="s">
        <v>39</v>
      </c>
      <c r="U88" s="2" t="s">
        <v>40</v>
      </c>
      <c r="V88" s="2" t="s">
        <v>447</v>
      </c>
      <c r="W88" s="2" t="s">
        <v>55</v>
      </c>
    </row>
    <row r="89" spans="1:23" ht="69">
      <c r="A89" s="2" t="s">
        <v>932</v>
      </c>
      <c r="B89" s="2" t="s">
        <v>24</v>
      </c>
      <c r="C89" s="2">
        <v>2</v>
      </c>
      <c r="D89" s="2" t="s">
        <v>435</v>
      </c>
      <c r="E89" s="2" t="s">
        <v>495</v>
      </c>
      <c r="F89" s="2" t="s">
        <v>933</v>
      </c>
      <c r="G89" s="2" t="s">
        <v>677</v>
      </c>
      <c r="H89" s="2" t="s">
        <v>678</v>
      </c>
      <c r="I89" s="2" t="s">
        <v>680</v>
      </c>
      <c r="J89" s="2" t="s">
        <v>679</v>
      </c>
      <c r="K89" s="2" t="s">
        <v>32</v>
      </c>
      <c r="L89" s="2" t="s">
        <v>934</v>
      </c>
      <c r="M89" s="2" t="s">
        <v>935</v>
      </c>
      <c r="N89" s="2" t="s">
        <v>191</v>
      </c>
      <c r="O89" s="2" t="s">
        <v>936</v>
      </c>
      <c r="P89" s="2" t="s">
        <v>937</v>
      </c>
      <c r="Q89" s="2" t="s">
        <v>938</v>
      </c>
      <c r="R89" s="2" t="s">
        <v>39</v>
      </c>
      <c r="S89" s="2" t="s">
        <v>39</v>
      </c>
      <c r="T89" s="2" t="s">
        <v>39</v>
      </c>
      <c r="U89" s="2" t="s">
        <v>40</v>
      </c>
      <c r="V89" s="2" t="s">
        <v>447</v>
      </c>
      <c r="W89" s="2" t="s">
        <v>55</v>
      </c>
    </row>
    <row r="90" spans="1:23" ht="69">
      <c r="A90" s="2" t="s">
        <v>939</v>
      </c>
      <c r="B90" s="2" t="s">
        <v>24</v>
      </c>
      <c r="C90" s="2">
        <v>2</v>
      </c>
      <c r="D90" s="2" t="s">
        <v>435</v>
      </c>
      <c r="E90" s="2" t="s">
        <v>460</v>
      </c>
      <c r="F90" s="2" t="s">
        <v>940</v>
      </c>
      <c r="G90" s="2" t="s">
        <v>902</v>
      </c>
      <c r="H90" s="2" t="s">
        <v>941</v>
      </c>
      <c r="I90" s="2" t="s">
        <v>942</v>
      </c>
      <c r="J90" s="2" t="s">
        <v>943</v>
      </c>
      <c r="K90" s="2" t="s">
        <v>32</v>
      </c>
      <c r="L90" s="2" t="s">
        <v>944</v>
      </c>
      <c r="M90" s="2" t="s">
        <v>945</v>
      </c>
      <c r="N90" s="2" t="s">
        <v>191</v>
      </c>
      <c r="O90" s="2" t="s">
        <v>946</v>
      </c>
      <c r="P90" s="2" t="s">
        <v>947</v>
      </c>
      <c r="Q90" s="2" t="s">
        <v>948</v>
      </c>
      <c r="R90" s="2" t="s">
        <v>39</v>
      </c>
      <c r="S90" s="2" t="s">
        <v>39</v>
      </c>
      <c r="T90" s="2" t="s">
        <v>39</v>
      </c>
      <c r="U90" s="2" t="s">
        <v>40</v>
      </c>
      <c r="V90" s="2" t="s">
        <v>447</v>
      </c>
      <c r="W90" s="2" t="s">
        <v>55</v>
      </c>
    </row>
    <row r="91" spans="1:23" ht="41.4">
      <c r="A91" s="2" t="s">
        <v>949</v>
      </c>
      <c r="B91" s="2" t="s">
        <v>24</v>
      </c>
      <c r="C91" s="2">
        <v>3</v>
      </c>
      <c r="D91" s="2" t="s">
        <v>950</v>
      </c>
      <c r="E91" s="2" t="s">
        <v>951</v>
      </c>
      <c r="F91" s="2" t="s">
        <v>952</v>
      </c>
      <c r="G91" s="2" t="s">
        <v>953</v>
      </c>
      <c r="H91" s="2" t="s">
        <v>954</v>
      </c>
      <c r="I91" s="2" t="s">
        <v>955</v>
      </c>
      <c r="J91" s="2" t="s">
        <v>956</v>
      </c>
      <c r="K91" s="2" t="s">
        <v>88</v>
      </c>
      <c r="L91" s="2" t="s">
        <v>957</v>
      </c>
      <c r="M91" s="2" t="s">
        <v>958</v>
      </c>
      <c r="N91" s="2" t="s">
        <v>65</v>
      </c>
      <c r="O91" s="2" t="s">
        <v>959</v>
      </c>
      <c r="P91" s="2" t="s">
        <v>960</v>
      </c>
      <c r="Q91" s="2" t="s">
        <v>961</v>
      </c>
      <c r="R91" s="2" t="s">
        <v>39</v>
      </c>
      <c r="S91" s="2" t="s">
        <v>39</v>
      </c>
      <c r="T91" s="2" t="s">
        <v>39</v>
      </c>
      <c r="U91" s="2" t="s">
        <v>40</v>
      </c>
      <c r="V91" s="2" t="s">
        <v>962</v>
      </c>
      <c r="W91" s="2" t="s">
        <v>55</v>
      </c>
    </row>
    <row r="92" spans="1:23" ht="55.2">
      <c r="A92" s="2" t="s">
        <v>963</v>
      </c>
      <c r="B92" s="2" t="s">
        <v>24</v>
      </c>
      <c r="C92" s="2">
        <v>3</v>
      </c>
      <c r="D92" s="2" t="s">
        <v>950</v>
      </c>
      <c r="E92" s="2" t="s">
        <v>951</v>
      </c>
      <c r="F92" s="2" t="s">
        <v>964</v>
      </c>
      <c r="G92" s="2" t="s">
        <v>965</v>
      </c>
      <c r="H92" s="2" t="s">
        <v>966</v>
      </c>
      <c r="I92" s="2" t="s">
        <v>967</v>
      </c>
      <c r="J92" s="2" t="s">
        <v>968</v>
      </c>
      <c r="K92" s="2" t="s">
        <v>88</v>
      </c>
      <c r="L92" s="2" t="s">
        <v>969</v>
      </c>
      <c r="M92" s="2" t="s">
        <v>970</v>
      </c>
      <c r="N92" s="2" t="s">
        <v>191</v>
      </c>
      <c r="O92" s="2" t="s">
        <v>971</v>
      </c>
      <c r="P92" s="2" t="s">
        <v>972</v>
      </c>
      <c r="Q92" s="2" t="s">
        <v>973</v>
      </c>
      <c r="R92" s="2" t="s">
        <v>39</v>
      </c>
      <c r="S92" s="2" t="s">
        <v>39</v>
      </c>
      <c r="T92" s="2" t="s">
        <v>39</v>
      </c>
      <c r="U92" s="2" t="s">
        <v>40</v>
      </c>
      <c r="V92" s="2" t="s">
        <v>962</v>
      </c>
      <c r="W92" s="2" t="s">
        <v>42</v>
      </c>
    </row>
    <row r="93" spans="1:23" ht="41.4">
      <c r="A93" s="2" t="s">
        <v>974</v>
      </c>
      <c r="B93" s="2" t="s">
        <v>24</v>
      </c>
      <c r="C93" s="2">
        <v>3</v>
      </c>
      <c r="D93" s="2" t="s">
        <v>950</v>
      </c>
      <c r="E93" s="2" t="s">
        <v>975</v>
      </c>
      <c r="F93" s="2" t="s">
        <v>976</v>
      </c>
      <c r="G93" s="2" t="s">
        <v>977</v>
      </c>
      <c r="H93" s="2" t="s">
        <v>978</v>
      </c>
      <c r="I93" s="2" t="s">
        <v>979</v>
      </c>
      <c r="J93" s="2" t="s">
        <v>980</v>
      </c>
      <c r="K93" s="2" t="s">
        <v>76</v>
      </c>
      <c r="L93" s="2" t="s">
        <v>981</v>
      </c>
      <c r="M93" s="2" t="s">
        <v>982</v>
      </c>
      <c r="N93" s="2" t="s">
        <v>65</v>
      </c>
      <c r="O93" s="2" t="s">
        <v>983</v>
      </c>
      <c r="P93" s="2" t="s">
        <v>984</v>
      </c>
      <c r="Q93" s="2" t="s">
        <v>985</v>
      </c>
      <c r="R93" s="2" t="s">
        <v>39</v>
      </c>
      <c r="S93" s="2" t="s">
        <v>39</v>
      </c>
      <c r="T93" s="2" t="s">
        <v>39</v>
      </c>
      <c r="U93" s="2" t="s">
        <v>40</v>
      </c>
      <c r="V93" s="2" t="s">
        <v>962</v>
      </c>
      <c r="W93" s="2" t="s">
        <v>42</v>
      </c>
    </row>
    <row r="94" spans="1:23" ht="41.4">
      <c r="A94" s="2" t="s">
        <v>986</v>
      </c>
      <c r="B94" s="2" t="s">
        <v>24</v>
      </c>
      <c r="C94" s="2">
        <v>3</v>
      </c>
      <c r="D94" s="2" t="s">
        <v>950</v>
      </c>
      <c r="E94" s="2" t="s">
        <v>975</v>
      </c>
      <c r="F94" s="2" t="s">
        <v>987</v>
      </c>
      <c r="G94" s="2" t="s">
        <v>135</v>
      </c>
      <c r="H94" s="2" t="s">
        <v>988</v>
      </c>
      <c r="I94" s="2" t="s">
        <v>989</v>
      </c>
      <c r="J94" s="2" t="s">
        <v>990</v>
      </c>
      <c r="K94" s="2" t="s">
        <v>88</v>
      </c>
      <c r="L94" s="2" t="s">
        <v>991</v>
      </c>
      <c r="M94" s="2" t="s">
        <v>992</v>
      </c>
      <c r="N94" s="2" t="s">
        <v>65</v>
      </c>
      <c r="O94" s="2" t="s">
        <v>993</v>
      </c>
      <c r="P94" s="2" t="s">
        <v>994</v>
      </c>
      <c r="Q94" s="2" t="s">
        <v>995</v>
      </c>
      <c r="R94" s="2" t="s">
        <v>39</v>
      </c>
      <c r="S94" s="2" t="s">
        <v>39</v>
      </c>
      <c r="T94" s="2" t="s">
        <v>39</v>
      </c>
      <c r="U94" s="2" t="s">
        <v>40</v>
      </c>
      <c r="V94" s="2" t="s">
        <v>962</v>
      </c>
      <c r="W94" s="2" t="s">
        <v>55</v>
      </c>
    </row>
    <row r="95" spans="1:23" ht="41.4">
      <c r="A95" s="2" t="s">
        <v>996</v>
      </c>
      <c r="B95" s="2" t="s">
        <v>24</v>
      </c>
      <c r="C95" s="2">
        <v>3</v>
      </c>
      <c r="D95" s="2" t="s">
        <v>950</v>
      </c>
      <c r="E95" s="2" t="s">
        <v>951</v>
      </c>
      <c r="F95" s="2" t="s">
        <v>997</v>
      </c>
      <c r="G95" s="2" t="s">
        <v>998</v>
      </c>
      <c r="H95" s="2" t="s">
        <v>999</v>
      </c>
      <c r="I95" s="2" t="s">
        <v>1000</v>
      </c>
      <c r="J95" s="2" t="s">
        <v>1001</v>
      </c>
      <c r="K95" s="2" t="s">
        <v>32</v>
      </c>
      <c r="L95" s="2" t="s">
        <v>1002</v>
      </c>
      <c r="M95" s="2" t="s">
        <v>1003</v>
      </c>
      <c r="N95" s="2" t="s">
        <v>65</v>
      </c>
      <c r="O95" s="2" t="s">
        <v>1004</v>
      </c>
      <c r="P95" s="2" t="s">
        <v>1005</v>
      </c>
      <c r="Q95" s="2" t="s">
        <v>1006</v>
      </c>
      <c r="R95" s="2" t="s">
        <v>39</v>
      </c>
      <c r="S95" s="2" t="s">
        <v>39</v>
      </c>
      <c r="T95" s="2" t="s">
        <v>39</v>
      </c>
      <c r="U95" s="2" t="s">
        <v>40</v>
      </c>
      <c r="V95" s="2" t="s">
        <v>962</v>
      </c>
      <c r="W95" s="2" t="s">
        <v>42</v>
      </c>
    </row>
    <row r="96" spans="1:23" ht="55.2">
      <c r="A96" s="2" t="s">
        <v>1007</v>
      </c>
      <c r="B96" s="2" t="s">
        <v>24</v>
      </c>
      <c r="C96" s="2">
        <v>3</v>
      </c>
      <c r="D96" s="2" t="s">
        <v>950</v>
      </c>
      <c r="E96" s="2" t="s">
        <v>951</v>
      </c>
      <c r="F96" s="2" t="s">
        <v>1008</v>
      </c>
      <c r="G96" s="2" t="s">
        <v>1009</v>
      </c>
      <c r="H96" s="2" t="s">
        <v>1010</v>
      </c>
      <c r="I96" s="2" t="s">
        <v>1011</v>
      </c>
      <c r="J96" s="2" t="s">
        <v>1012</v>
      </c>
      <c r="K96" s="2" t="s">
        <v>62</v>
      </c>
      <c r="L96" s="2" t="s">
        <v>1013</v>
      </c>
      <c r="M96" s="2" t="s">
        <v>1014</v>
      </c>
      <c r="N96" s="2" t="s">
        <v>191</v>
      </c>
      <c r="O96" s="2" t="s">
        <v>1015</v>
      </c>
      <c r="P96" s="2" t="s">
        <v>1016</v>
      </c>
      <c r="Q96" s="2" t="s">
        <v>1017</v>
      </c>
      <c r="R96" s="2" t="s">
        <v>39</v>
      </c>
      <c r="S96" s="2" t="s">
        <v>39</v>
      </c>
      <c r="T96" s="2" t="s">
        <v>39</v>
      </c>
      <c r="U96" s="2" t="s">
        <v>40</v>
      </c>
      <c r="V96" s="2" t="s">
        <v>962</v>
      </c>
      <c r="W96" s="2" t="s">
        <v>42</v>
      </c>
    </row>
    <row r="97" spans="1:23" ht="41.4">
      <c r="A97" s="2" t="s">
        <v>1018</v>
      </c>
      <c r="B97" s="2" t="s">
        <v>24</v>
      </c>
      <c r="C97" s="2">
        <v>3</v>
      </c>
      <c r="D97" s="2" t="s">
        <v>950</v>
      </c>
      <c r="E97" s="2" t="s">
        <v>951</v>
      </c>
      <c r="F97" s="2" t="s">
        <v>1019</v>
      </c>
      <c r="G97" s="2" t="s">
        <v>138</v>
      </c>
      <c r="H97" s="2" t="s">
        <v>1020</v>
      </c>
      <c r="I97" s="2" t="s">
        <v>1021</v>
      </c>
      <c r="J97" s="2" t="s">
        <v>135</v>
      </c>
      <c r="K97" s="2" t="s">
        <v>62</v>
      </c>
      <c r="L97" s="2" t="s">
        <v>1022</v>
      </c>
      <c r="M97" s="2" t="s">
        <v>1023</v>
      </c>
      <c r="N97" s="2" t="s">
        <v>35</v>
      </c>
      <c r="O97" s="2" t="s">
        <v>1024</v>
      </c>
      <c r="P97" s="2" t="s">
        <v>1025</v>
      </c>
      <c r="Q97" s="2" t="s">
        <v>1026</v>
      </c>
      <c r="R97" s="2" t="s">
        <v>39</v>
      </c>
      <c r="S97" s="2" t="s">
        <v>39</v>
      </c>
      <c r="T97" s="2" t="s">
        <v>39</v>
      </c>
      <c r="U97" s="2" t="s">
        <v>40</v>
      </c>
      <c r="V97" s="2" t="s">
        <v>962</v>
      </c>
      <c r="W97" s="2" t="s">
        <v>55</v>
      </c>
    </row>
    <row r="98" spans="1:23" ht="55.2">
      <c r="A98" s="2" t="s">
        <v>1027</v>
      </c>
      <c r="B98" s="2" t="s">
        <v>24</v>
      </c>
      <c r="C98" s="2">
        <v>3</v>
      </c>
      <c r="D98" s="2" t="s">
        <v>950</v>
      </c>
      <c r="E98" s="2" t="s">
        <v>951</v>
      </c>
      <c r="F98" s="2" t="s">
        <v>1028</v>
      </c>
      <c r="G98" s="2" t="s">
        <v>1029</v>
      </c>
      <c r="H98" s="2" t="s">
        <v>1030</v>
      </c>
      <c r="I98" s="2" t="s">
        <v>1031</v>
      </c>
      <c r="J98" s="2" t="s">
        <v>1032</v>
      </c>
      <c r="K98" s="2" t="s">
        <v>32</v>
      </c>
      <c r="L98" s="2" t="s">
        <v>1033</v>
      </c>
      <c r="M98" s="2" t="s">
        <v>1034</v>
      </c>
      <c r="N98" s="2" t="s">
        <v>191</v>
      </c>
      <c r="O98" s="2" t="s">
        <v>1035</v>
      </c>
      <c r="P98" s="2" t="s">
        <v>1036</v>
      </c>
      <c r="Q98" s="2" t="s">
        <v>1037</v>
      </c>
      <c r="R98" s="2" t="s">
        <v>39</v>
      </c>
      <c r="S98" s="2" t="s">
        <v>39</v>
      </c>
      <c r="T98" s="2" t="s">
        <v>39</v>
      </c>
      <c r="U98" s="2" t="s">
        <v>40</v>
      </c>
      <c r="V98" s="2" t="s">
        <v>962</v>
      </c>
      <c r="W98" s="2" t="s">
        <v>42</v>
      </c>
    </row>
    <row r="99" spans="1:23" ht="41.4">
      <c r="A99" s="2" t="s">
        <v>1038</v>
      </c>
      <c r="B99" s="2" t="s">
        <v>24</v>
      </c>
      <c r="C99" s="2">
        <v>3</v>
      </c>
      <c r="D99" s="2" t="s">
        <v>950</v>
      </c>
      <c r="E99" s="2" t="s">
        <v>951</v>
      </c>
      <c r="F99" s="2" t="s">
        <v>1039</v>
      </c>
      <c r="G99" s="2" t="s">
        <v>1040</v>
      </c>
      <c r="H99" s="2" t="s">
        <v>1041</v>
      </c>
      <c r="I99" s="2" t="s">
        <v>1042</v>
      </c>
      <c r="J99" s="2" t="s">
        <v>1043</v>
      </c>
      <c r="K99" s="2" t="s">
        <v>76</v>
      </c>
      <c r="L99" s="2" t="s">
        <v>1044</v>
      </c>
      <c r="M99" s="2" t="s">
        <v>1045</v>
      </c>
      <c r="N99" s="2" t="s">
        <v>35</v>
      </c>
      <c r="O99" s="2" t="s">
        <v>213</v>
      </c>
      <c r="P99" s="2" t="s">
        <v>1046</v>
      </c>
      <c r="Q99" s="2" t="s">
        <v>1047</v>
      </c>
      <c r="R99" s="2" t="s">
        <v>39</v>
      </c>
      <c r="S99" s="2" t="s">
        <v>39</v>
      </c>
      <c r="T99" s="2" t="s">
        <v>39</v>
      </c>
      <c r="U99" s="2" t="s">
        <v>40</v>
      </c>
      <c r="V99" s="2" t="s">
        <v>962</v>
      </c>
      <c r="W99" s="2" t="s">
        <v>55</v>
      </c>
    </row>
    <row r="100" spans="1:23" ht="41.4">
      <c r="A100" s="2" t="s">
        <v>1048</v>
      </c>
      <c r="B100" s="2" t="s">
        <v>24</v>
      </c>
      <c r="C100" s="2">
        <v>3</v>
      </c>
      <c r="D100" s="2" t="s">
        <v>950</v>
      </c>
      <c r="E100" s="2" t="s">
        <v>951</v>
      </c>
      <c r="F100" s="2" t="s">
        <v>1049</v>
      </c>
      <c r="G100" s="2" t="s">
        <v>1050</v>
      </c>
      <c r="H100" s="2" t="s">
        <v>1051</v>
      </c>
      <c r="I100" s="2" t="s">
        <v>1052</v>
      </c>
      <c r="J100" s="2" t="s">
        <v>1053</v>
      </c>
      <c r="K100" s="2" t="s">
        <v>32</v>
      </c>
      <c r="L100" s="2" t="s">
        <v>1054</v>
      </c>
      <c r="M100" s="2" t="s">
        <v>1055</v>
      </c>
      <c r="N100" s="2" t="s">
        <v>191</v>
      </c>
      <c r="O100" s="2" t="s">
        <v>1056</v>
      </c>
      <c r="P100" s="2" t="s">
        <v>1057</v>
      </c>
      <c r="Q100" s="2" t="s">
        <v>1058</v>
      </c>
      <c r="R100" s="2" t="s">
        <v>39</v>
      </c>
      <c r="S100" s="2" t="s">
        <v>39</v>
      </c>
      <c r="T100" s="2" t="s">
        <v>39</v>
      </c>
      <c r="U100" s="2" t="s">
        <v>40</v>
      </c>
      <c r="V100" s="2" t="s">
        <v>962</v>
      </c>
      <c r="W100" s="2" t="s">
        <v>42</v>
      </c>
    </row>
    <row r="101" spans="1:23" ht="55.2">
      <c r="A101" s="2" t="s">
        <v>1059</v>
      </c>
      <c r="B101" s="2" t="s">
        <v>24</v>
      </c>
      <c r="C101" s="2">
        <v>3</v>
      </c>
      <c r="D101" s="2" t="s">
        <v>950</v>
      </c>
      <c r="E101" s="2" t="s">
        <v>951</v>
      </c>
      <c r="F101" s="2" t="s">
        <v>1060</v>
      </c>
      <c r="G101" s="2" t="s">
        <v>1061</v>
      </c>
      <c r="H101" s="2" t="s">
        <v>1062</v>
      </c>
      <c r="I101" s="2" t="s">
        <v>1063</v>
      </c>
      <c r="J101" s="2" t="s">
        <v>1064</v>
      </c>
      <c r="K101" s="2" t="s">
        <v>76</v>
      </c>
      <c r="L101" s="2" t="s">
        <v>1065</v>
      </c>
      <c r="M101" s="2" t="s">
        <v>1066</v>
      </c>
      <c r="N101" s="2" t="s">
        <v>35</v>
      </c>
      <c r="O101" s="2" t="s">
        <v>1067</v>
      </c>
      <c r="P101" s="2" t="s">
        <v>1068</v>
      </c>
      <c r="Q101" s="2" t="s">
        <v>1069</v>
      </c>
      <c r="R101" s="2" t="s">
        <v>39</v>
      </c>
      <c r="S101" s="2" t="s">
        <v>39</v>
      </c>
      <c r="T101" s="2" t="s">
        <v>39</v>
      </c>
      <c r="U101" s="2" t="s">
        <v>40</v>
      </c>
      <c r="V101" s="2" t="s">
        <v>962</v>
      </c>
      <c r="W101" s="2" t="s">
        <v>55</v>
      </c>
    </row>
    <row r="102" spans="1:23" ht="41.4">
      <c r="A102" s="2" t="s">
        <v>1070</v>
      </c>
      <c r="B102" s="2" t="s">
        <v>24</v>
      </c>
      <c r="C102" s="2">
        <v>3</v>
      </c>
      <c r="D102" s="2" t="s">
        <v>950</v>
      </c>
      <c r="E102" s="2" t="s">
        <v>951</v>
      </c>
      <c r="F102" s="2" t="s">
        <v>1071</v>
      </c>
      <c r="G102" s="2" t="s">
        <v>1072</v>
      </c>
      <c r="H102" s="2" t="s">
        <v>1073</v>
      </c>
      <c r="I102" s="2" t="s">
        <v>1074</v>
      </c>
      <c r="J102" s="2" t="s">
        <v>1075</v>
      </c>
      <c r="K102" s="2" t="s">
        <v>32</v>
      </c>
      <c r="L102" s="2" t="s">
        <v>1076</v>
      </c>
      <c r="M102" s="2" t="s">
        <v>1077</v>
      </c>
      <c r="N102" s="2" t="s">
        <v>35</v>
      </c>
      <c r="O102" s="2" t="s">
        <v>1078</v>
      </c>
      <c r="P102" s="2" t="s">
        <v>1079</v>
      </c>
      <c r="Q102" s="2" t="s">
        <v>1080</v>
      </c>
      <c r="R102" s="2" t="s">
        <v>39</v>
      </c>
      <c r="S102" s="2" t="s">
        <v>39</v>
      </c>
      <c r="T102" s="2" t="s">
        <v>39</v>
      </c>
      <c r="U102" s="2" t="s">
        <v>40</v>
      </c>
      <c r="V102" s="2" t="s">
        <v>962</v>
      </c>
      <c r="W102" s="2" t="s">
        <v>55</v>
      </c>
    </row>
    <row r="103" spans="1:23" ht="55.2">
      <c r="A103" s="2" t="s">
        <v>1081</v>
      </c>
      <c r="B103" s="2" t="s">
        <v>24</v>
      </c>
      <c r="C103" s="2">
        <v>3</v>
      </c>
      <c r="D103" s="2" t="s">
        <v>950</v>
      </c>
      <c r="E103" s="2" t="s">
        <v>975</v>
      </c>
      <c r="F103" s="2" t="s">
        <v>1082</v>
      </c>
      <c r="G103" s="2" t="s">
        <v>1083</v>
      </c>
      <c r="H103" s="2" t="s">
        <v>1084</v>
      </c>
      <c r="I103" s="2" t="s">
        <v>1085</v>
      </c>
      <c r="J103" s="2" t="s">
        <v>1086</v>
      </c>
      <c r="K103" s="2" t="s">
        <v>62</v>
      </c>
      <c r="L103" s="2" t="s">
        <v>1087</v>
      </c>
      <c r="M103" s="2" t="s">
        <v>1088</v>
      </c>
      <c r="N103" s="2" t="s">
        <v>191</v>
      </c>
      <c r="O103" s="2" t="s">
        <v>1089</v>
      </c>
      <c r="P103" s="2" t="s">
        <v>1090</v>
      </c>
      <c r="Q103" s="2" t="s">
        <v>1091</v>
      </c>
      <c r="R103" s="2" t="s">
        <v>39</v>
      </c>
      <c r="S103" s="2" t="s">
        <v>39</v>
      </c>
      <c r="T103" s="2" t="s">
        <v>39</v>
      </c>
      <c r="U103" s="2" t="s">
        <v>40</v>
      </c>
      <c r="V103" s="2" t="s">
        <v>962</v>
      </c>
      <c r="W103" s="2" t="s">
        <v>55</v>
      </c>
    </row>
    <row r="104" spans="1:23" ht="55.2">
      <c r="A104" s="2" t="s">
        <v>1092</v>
      </c>
      <c r="B104" s="2" t="s">
        <v>24</v>
      </c>
      <c r="C104" s="2">
        <v>3</v>
      </c>
      <c r="D104" s="2" t="s">
        <v>950</v>
      </c>
      <c r="E104" s="2" t="s">
        <v>951</v>
      </c>
      <c r="F104" s="2" t="s">
        <v>1093</v>
      </c>
      <c r="G104" s="2" t="s">
        <v>1094</v>
      </c>
      <c r="H104" s="2" t="s">
        <v>1095</v>
      </c>
      <c r="I104" s="2" t="s">
        <v>1096</v>
      </c>
      <c r="J104" s="2" t="s">
        <v>1097</v>
      </c>
      <c r="K104" s="2" t="s">
        <v>62</v>
      </c>
      <c r="L104" s="2" t="s">
        <v>1098</v>
      </c>
      <c r="M104" s="2" t="s">
        <v>1099</v>
      </c>
      <c r="N104" s="2" t="s">
        <v>191</v>
      </c>
      <c r="O104" s="2" t="s">
        <v>1100</v>
      </c>
      <c r="P104" s="2" t="s">
        <v>1101</v>
      </c>
      <c r="Q104" s="2" t="s">
        <v>1037</v>
      </c>
      <c r="R104" s="2" t="s">
        <v>39</v>
      </c>
      <c r="S104" s="2" t="s">
        <v>39</v>
      </c>
      <c r="T104" s="2" t="s">
        <v>39</v>
      </c>
      <c r="U104" s="2" t="s">
        <v>40</v>
      </c>
      <c r="V104" s="2" t="s">
        <v>962</v>
      </c>
      <c r="W104" s="2" t="s">
        <v>42</v>
      </c>
    </row>
    <row r="105" spans="1:23" ht="41.4">
      <c r="A105" s="2" t="s">
        <v>1102</v>
      </c>
      <c r="B105" s="2" t="s">
        <v>24</v>
      </c>
      <c r="C105" s="2">
        <v>3</v>
      </c>
      <c r="D105" s="2" t="s">
        <v>950</v>
      </c>
      <c r="E105" s="2" t="s">
        <v>951</v>
      </c>
      <c r="F105" s="2" t="s">
        <v>1103</v>
      </c>
      <c r="G105" s="2" t="s">
        <v>329</v>
      </c>
      <c r="H105" s="2" t="s">
        <v>955</v>
      </c>
      <c r="I105" s="2" t="s">
        <v>1104</v>
      </c>
      <c r="J105" s="2" t="s">
        <v>956</v>
      </c>
      <c r="K105" s="2" t="s">
        <v>88</v>
      </c>
      <c r="L105" s="2" t="s">
        <v>1105</v>
      </c>
      <c r="M105" s="2" t="s">
        <v>1106</v>
      </c>
      <c r="N105" s="2" t="s">
        <v>191</v>
      </c>
      <c r="O105" s="2" t="s">
        <v>52</v>
      </c>
      <c r="P105" s="2" t="s">
        <v>1107</v>
      </c>
      <c r="Q105" s="2" t="s">
        <v>1108</v>
      </c>
      <c r="R105" s="2" t="s">
        <v>39</v>
      </c>
      <c r="S105" s="2" t="s">
        <v>39</v>
      </c>
      <c r="T105" s="2" t="s">
        <v>39</v>
      </c>
      <c r="U105" s="2" t="s">
        <v>40</v>
      </c>
      <c r="V105" s="2" t="s">
        <v>962</v>
      </c>
      <c r="W105" s="2" t="s">
        <v>55</v>
      </c>
    </row>
    <row r="106" spans="1:23" ht="41.4">
      <c r="A106" s="2" t="s">
        <v>1109</v>
      </c>
      <c r="B106" s="2" t="s">
        <v>24</v>
      </c>
      <c r="C106" s="2">
        <v>3</v>
      </c>
      <c r="D106" s="2" t="s">
        <v>950</v>
      </c>
      <c r="E106" s="2" t="s">
        <v>1110</v>
      </c>
      <c r="F106" s="2" t="s">
        <v>1111</v>
      </c>
      <c r="G106" s="2" t="s">
        <v>1112</v>
      </c>
      <c r="H106" s="2" t="s">
        <v>1113</v>
      </c>
      <c r="I106" s="2" t="s">
        <v>1114</v>
      </c>
      <c r="J106" s="2" t="s">
        <v>1115</v>
      </c>
      <c r="K106" s="2" t="s">
        <v>62</v>
      </c>
      <c r="L106" s="2" t="s">
        <v>1116</v>
      </c>
      <c r="M106" s="2" t="s">
        <v>1117</v>
      </c>
      <c r="N106" s="2" t="s">
        <v>65</v>
      </c>
      <c r="O106" s="2" t="s">
        <v>1118</v>
      </c>
      <c r="P106" s="2" t="s">
        <v>1119</v>
      </c>
      <c r="Q106" s="2" t="s">
        <v>1120</v>
      </c>
      <c r="R106" s="2" t="s">
        <v>39</v>
      </c>
      <c r="S106" s="2" t="s">
        <v>39</v>
      </c>
      <c r="T106" s="2" t="s">
        <v>39</v>
      </c>
      <c r="U106" s="2" t="s">
        <v>40</v>
      </c>
      <c r="V106" s="2" t="s">
        <v>962</v>
      </c>
      <c r="W106" s="2" t="s">
        <v>55</v>
      </c>
    </row>
    <row r="107" spans="1:23" ht="55.2">
      <c r="A107" s="2" t="s">
        <v>1121</v>
      </c>
      <c r="B107" s="2" t="s">
        <v>24</v>
      </c>
      <c r="C107" s="2">
        <v>3</v>
      </c>
      <c r="D107" s="2" t="s">
        <v>950</v>
      </c>
      <c r="E107" s="2" t="s">
        <v>951</v>
      </c>
      <c r="F107" s="2" t="s">
        <v>1122</v>
      </c>
      <c r="G107" s="2" t="s">
        <v>1123</v>
      </c>
      <c r="H107" s="2" t="s">
        <v>1124</v>
      </c>
      <c r="I107" s="2" t="s">
        <v>1125</v>
      </c>
      <c r="J107" s="2" t="s">
        <v>1126</v>
      </c>
      <c r="K107" s="2" t="s">
        <v>62</v>
      </c>
      <c r="L107" s="2" t="s">
        <v>1127</v>
      </c>
      <c r="M107" s="2" t="s">
        <v>1128</v>
      </c>
      <c r="N107" s="2" t="s">
        <v>191</v>
      </c>
      <c r="O107" s="2" t="s">
        <v>1035</v>
      </c>
      <c r="P107" s="2" t="s">
        <v>1036</v>
      </c>
      <c r="Q107" s="2" t="s">
        <v>1037</v>
      </c>
      <c r="R107" s="2" t="s">
        <v>39</v>
      </c>
      <c r="S107" s="2" t="s">
        <v>39</v>
      </c>
      <c r="T107" s="2" t="s">
        <v>39</v>
      </c>
      <c r="U107" s="2" t="s">
        <v>40</v>
      </c>
      <c r="V107" s="2" t="s">
        <v>962</v>
      </c>
      <c r="W107" s="2" t="s">
        <v>55</v>
      </c>
    </row>
    <row r="108" spans="1:23" ht="41.4">
      <c r="A108" s="2" t="s">
        <v>1129</v>
      </c>
      <c r="B108" s="2" t="s">
        <v>24</v>
      </c>
      <c r="C108" s="2">
        <v>3</v>
      </c>
      <c r="D108" s="2" t="s">
        <v>950</v>
      </c>
      <c r="E108" s="2" t="s">
        <v>951</v>
      </c>
      <c r="F108" s="2" t="s">
        <v>1130</v>
      </c>
      <c r="G108" s="2" t="s">
        <v>1131</v>
      </c>
      <c r="H108" s="2" t="s">
        <v>1132</v>
      </c>
      <c r="I108" s="2" t="s">
        <v>1133</v>
      </c>
      <c r="J108" s="2" t="s">
        <v>1134</v>
      </c>
      <c r="K108" s="2" t="s">
        <v>32</v>
      </c>
      <c r="L108" s="2" t="s">
        <v>1135</v>
      </c>
      <c r="M108" s="2" t="s">
        <v>1136</v>
      </c>
      <c r="N108" s="2" t="s">
        <v>191</v>
      </c>
      <c r="O108" s="2" t="s">
        <v>1137</v>
      </c>
      <c r="P108" s="2" t="s">
        <v>1138</v>
      </c>
      <c r="Q108" s="2" t="s">
        <v>1139</v>
      </c>
      <c r="R108" s="2" t="s">
        <v>39</v>
      </c>
      <c r="S108" s="2" t="s">
        <v>39</v>
      </c>
      <c r="T108" s="2" t="s">
        <v>39</v>
      </c>
      <c r="U108" s="2" t="s">
        <v>40</v>
      </c>
      <c r="V108" s="2" t="s">
        <v>962</v>
      </c>
      <c r="W108" s="2" t="s">
        <v>55</v>
      </c>
    </row>
    <row r="109" spans="1:23" ht="41.4">
      <c r="A109" s="2" t="s">
        <v>1140</v>
      </c>
      <c r="B109" s="2" t="s">
        <v>24</v>
      </c>
      <c r="C109" s="2">
        <v>3</v>
      </c>
      <c r="D109" s="2" t="s">
        <v>950</v>
      </c>
      <c r="E109" s="2" t="s">
        <v>951</v>
      </c>
      <c r="F109" s="2" t="s">
        <v>1141</v>
      </c>
      <c r="G109" s="2" t="s">
        <v>135</v>
      </c>
      <c r="H109" s="2" t="s">
        <v>138</v>
      </c>
      <c r="I109" s="2" t="s">
        <v>1142</v>
      </c>
      <c r="J109" s="2" t="s">
        <v>1143</v>
      </c>
      <c r="K109" s="2" t="s">
        <v>88</v>
      </c>
      <c r="L109" s="2" t="s">
        <v>1144</v>
      </c>
      <c r="M109" s="2" t="s">
        <v>1145</v>
      </c>
      <c r="N109" s="2" t="s">
        <v>35</v>
      </c>
      <c r="O109" s="2" t="s">
        <v>1146</v>
      </c>
      <c r="P109" s="2" t="s">
        <v>1147</v>
      </c>
      <c r="Q109" s="2" t="s">
        <v>1148</v>
      </c>
      <c r="R109" s="2" t="s">
        <v>39</v>
      </c>
      <c r="S109" s="2" t="s">
        <v>39</v>
      </c>
      <c r="T109" s="2" t="s">
        <v>39</v>
      </c>
      <c r="U109" s="2" t="s">
        <v>40</v>
      </c>
      <c r="V109" s="2" t="s">
        <v>962</v>
      </c>
      <c r="W109" s="2" t="s">
        <v>55</v>
      </c>
    </row>
    <row r="110" spans="1:23" ht="55.2">
      <c r="A110" s="2" t="s">
        <v>1149</v>
      </c>
      <c r="B110" s="2" t="s">
        <v>24</v>
      </c>
      <c r="C110" s="2">
        <v>3</v>
      </c>
      <c r="D110" s="2" t="s">
        <v>950</v>
      </c>
      <c r="E110" s="2" t="s">
        <v>951</v>
      </c>
      <c r="F110" s="2" t="s">
        <v>1150</v>
      </c>
      <c r="G110" s="2" t="s">
        <v>1151</v>
      </c>
      <c r="H110" s="2" t="s">
        <v>1152</v>
      </c>
      <c r="I110" s="2" t="s">
        <v>1153</v>
      </c>
      <c r="J110" s="2" t="s">
        <v>1154</v>
      </c>
      <c r="K110" s="2" t="s">
        <v>76</v>
      </c>
      <c r="L110" s="2" t="s">
        <v>1155</v>
      </c>
      <c r="M110" s="2" t="s">
        <v>1156</v>
      </c>
      <c r="N110" s="2" t="s">
        <v>65</v>
      </c>
      <c r="O110" s="2" t="s">
        <v>1157</v>
      </c>
      <c r="P110" s="2" t="s">
        <v>1158</v>
      </c>
      <c r="Q110" s="2" t="s">
        <v>1159</v>
      </c>
      <c r="R110" s="2" t="s">
        <v>39</v>
      </c>
      <c r="S110" s="2" t="s">
        <v>39</v>
      </c>
      <c r="T110" s="2" t="s">
        <v>39</v>
      </c>
      <c r="U110" s="2" t="s">
        <v>40</v>
      </c>
      <c r="V110" s="2" t="s">
        <v>962</v>
      </c>
      <c r="W110" s="2" t="s">
        <v>42</v>
      </c>
    </row>
    <row r="111" spans="1:23" ht="41.4">
      <c r="A111" s="2" t="s">
        <v>1160</v>
      </c>
      <c r="B111" s="2" t="s">
        <v>24</v>
      </c>
      <c r="C111" s="2">
        <v>3</v>
      </c>
      <c r="D111" s="2" t="s">
        <v>950</v>
      </c>
      <c r="E111" s="2" t="s">
        <v>951</v>
      </c>
      <c r="F111" s="2" t="s">
        <v>1161</v>
      </c>
      <c r="G111" s="2" t="s">
        <v>1162</v>
      </c>
      <c r="H111" s="2" t="s">
        <v>1163</v>
      </c>
      <c r="I111" s="2" t="s">
        <v>1164</v>
      </c>
      <c r="J111" s="2" t="s">
        <v>1165</v>
      </c>
      <c r="K111" s="2" t="s">
        <v>32</v>
      </c>
      <c r="L111" s="2" t="s">
        <v>1166</v>
      </c>
      <c r="M111" s="2" t="s">
        <v>1167</v>
      </c>
      <c r="N111" s="2" t="s">
        <v>191</v>
      </c>
      <c r="O111" s="2" t="s">
        <v>1168</v>
      </c>
      <c r="P111" s="2" t="s">
        <v>1169</v>
      </c>
      <c r="Q111" s="2" t="s">
        <v>1170</v>
      </c>
      <c r="R111" s="2" t="s">
        <v>39</v>
      </c>
      <c r="S111" s="2" t="s">
        <v>39</v>
      </c>
      <c r="T111" s="2" t="s">
        <v>39</v>
      </c>
      <c r="U111" s="2" t="s">
        <v>40</v>
      </c>
      <c r="V111" s="2" t="s">
        <v>962</v>
      </c>
      <c r="W111" s="2" t="s">
        <v>42</v>
      </c>
    </row>
    <row r="112" spans="1:23" ht="55.2">
      <c r="A112" s="2" t="s">
        <v>1171</v>
      </c>
      <c r="B112" s="2" t="s">
        <v>24</v>
      </c>
      <c r="C112" s="2">
        <v>3</v>
      </c>
      <c r="D112" s="2" t="s">
        <v>950</v>
      </c>
      <c r="E112" s="2" t="s">
        <v>951</v>
      </c>
      <c r="F112" s="2" t="s">
        <v>1172</v>
      </c>
      <c r="G112" s="2" t="s">
        <v>1173</v>
      </c>
      <c r="H112" s="2" t="s">
        <v>1174</v>
      </c>
      <c r="I112" s="2" t="s">
        <v>1175</v>
      </c>
      <c r="J112" s="2" t="s">
        <v>1176</v>
      </c>
      <c r="K112" s="2" t="s">
        <v>88</v>
      </c>
      <c r="L112" s="2" t="s">
        <v>1177</v>
      </c>
      <c r="M112" s="2" t="s">
        <v>1178</v>
      </c>
      <c r="N112" s="2" t="s">
        <v>65</v>
      </c>
      <c r="O112" s="2" t="s">
        <v>971</v>
      </c>
      <c r="P112" s="2" t="s">
        <v>1179</v>
      </c>
      <c r="Q112" s="2" t="s">
        <v>1180</v>
      </c>
      <c r="R112" s="2" t="s">
        <v>39</v>
      </c>
      <c r="S112" s="2" t="s">
        <v>39</v>
      </c>
      <c r="T112" s="2" t="s">
        <v>39</v>
      </c>
      <c r="U112" s="2" t="s">
        <v>40</v>
      </c>
      <c r="V112" s="2" t="s">
        <v>962</v>
      </c>
      <c r="W112" s="2" t="s">
        <v>55</v>
      </c>
    </row>
    <row r="113" spans="1:23" ht="27.6">
      <c r="A113" s="2" t="s">
        <v>1181</v>
      </c>
      <c r="B113" s="2" t="s">
        <v>24</v>
      </c>
      <c r="C113" s="2">
        <v>3</v>
      </c>
      <c r="D113" s="2" t="s">
        <v>950</v>
      </c>
      <c r="E113" s="2" t="s">
        <v>951</v>
      </c>
      <c r="F113" s="2" t="s">
        <v>1182</v>
      </c>
      <c r="G113" s="2" t="s">
        <v>1183</v>
      </c>
      <c r="H113" s="2" t="s">
        <v>1184</v>
      </c>
      <c r="I113" s="2" t="s">
        <v>1185</v>
      </c>
      <c r="J113" s="2" t="s">
        <v>1186</v>
      </c>
      <c r="K113" s="2" t="s">
        <v>62</v>
      </c>
      <c r="L113" s="2" t="s">
        <v>1187</v>
      </c>
      <c r="M113" s="2" t="s">
        <v>1188</v>
      </c>
      <c r="N113" s="2" t="s">
        <v>191</v>
      </c>
      <c r="O113" s="2" t="s">
        <v>1189</v>
      </c>
      <c r="P113" s="2" t="s">
        <v>1190</v>
      </c>
      <c r="Q113" s="2" t="s">
        <v>1191</v>
      </c>
      <c r="R113" s="2" t="s">
        <v>39</v>
      </c>
      <c r="S113" s="2" t="s">
        <v>39</v>
      </c>
      <c r="T113" s="2" t="s">
        <v>39</v>
      </c>
      <c r="U113" s="2" t="s">
        <v>40</v>
      </c>
      <c r="V113" s="2" t="s">
        <v>962</v>
      </c>
      <c r="W113" s="2" t="s">
        <v>42</v>
      </c>
    </row>
    <row r="114" spans="1:23" ht="55.2">
      <c r="A114" s="2" t="s">
        <v>1192</v>
      </c>
      <c r="B114" s="2" t="s">
        <v>24</v>
      </c>
      <c r="C114" s="2">
        <v>3</v>
      </c>
      <c r="D114" s="2" t="s">
        <v>950</v>
      </c>
      <c r="E114" s="2" t="s">
        <v>951</v>
      </c>
      <c r="F114" s="2" t="s">
        <v>1193</v>
      </c>
      <c r="G114" s="2" t="s">
        <v>1194</v>
      </c>
      <c r="H114" s="2" t="s">
        <v>1195</v>
      </c>
      <c r="I114" s="2" t="s">
        <v>1196</v>
      </c>
      <c r="J114" s="2" t="s">
        <v>1197</v>
      </c>
      <c r="K114" s="2" t="s">
        <v>62</v>
      </c>
      <c r="L114" s="2" t="s">
        <v>1198</v>
      </c>
      <c r="M114" s="2" t="s">
        <v>1199</v>
      </c>
      <c r="N114" s="2" t="s">
        <v>191</v>
      </c>
      <c r="O114" s="2" t="s">
        <v>1200</v>
      </c>
      <c r="P114" s="2" t="s">
        <v>1201</v>
      </c>
      <c r="Q114" s="2" t="s">
        <v>1202</v>
      </c>
      <c r="R114" s="2" t="s">
        <v>39</v>
      </c>
      <c r="S114" s="2" t="s">
        <v>39</v>
      </c>
      <c r="T114" s="2" t="s">
        <v>39</v>
      </c>
      <c r="U114" s="2" t="s">
        <v>40</v>
      </c>
      <c r="V114" s="2" t="s">
        <v>962</v>
      </c>
      <c r="W114" s="2" t="s">
        <v>42</v>
      </c>
    </row>
    <row r="115" spans="1:23" ht="55.2">
      <c r="A115" s="2" t="s">
        <v>1203</v>
      </c>
      <c r="B115" s="2" t="s">
        <v>24</v>
      </c>
      <c r="C115" s="2">
        <v>3</v>
      </c>
      <c r="D115" s="2" t="s">
        <v>950</v>
      </c>
      <c r="E115" s="2" t="s">
        <v>951</v>
      </c>
      <c r="F115" s="2" t="s">
        <v>1204</v>
      </c>
      <c r="G115" s="2" t="s">
        <v>1205</v>
      </c>
      <c r="H115" s="2" t="s">
        <v>1206</v>
      </c>
      <c r="I115" s="2" t="s">
        <v>1207</v>
      </c>
      <c r="J115" s="2" t="s">
        <v>1208</v>
      </c>
      <c r="K115" s="2" t="s">
        <v>76</v>
      </c>
      <c r="L115" s="2" t="s">
        <v>1209</v>
      </c>
      <c r="M115" s="2" t="s">
        <v>1210</v>
      </c>
      <c r="N115" s="2" t="s">
        <v>65</v>
      </c>
      <c r="O115" s="2" t="s">
        <v>1211</v>
      </c>
      <c r="P115" s="2" t="s">
        <v>1212</v>
      </c>
      <c r="Q115" s="2" t="s">
        <v>1213</v>
      </c>
      <c r="R115" s="2" t="s">
        <v>39</v>
      </c>
      <c r="S115" s="2" t="s">
        <v>39</v>
      </c>
      <c r="T115" s="2" t="s">
        <v>39</v>
      </c>
      <c r="U115" s="2" t="s">
        <v>40</v>
      </c>
      <c r="V115" s="2" t="s">
        <v>962</v>
      </c>
      <c r="W115" s="2" t="s">
        <v>55</v>
      </c>
    </row>
    <row r="116" spans="1:23" ht="41.4">
      <c r="A116" s="2" t="s">
        <v>1214</v>
      </c>
      <c r="B116" s="2" t="s">
        <v>24</v>
      </c>
      <c r="C116" s="2">
        <v>3</v>
      </c>
      <c r="D116" s="2" t="s">
        <v>950</v>
      </c>
      <c r="E116" s="2" t="s">
        <v>951</v>
      </c>
      <c r="F116" s="2" t="s">
        <v>1215</v>
      </c>
      <c r="G116" s="2" t="s">
        <v>1216</v>
      </c>
      <c r="H116" s="2" t="s">
        <v>1217</v>
      </c>
      <c r="I116" s="2" t="s">
        <v>1218</v>
      </c>
      <c r="J116" s="2" t="s">
        <v>1219</v>
      </c>
      <c r="K116" s="2" t="s">
        <v>62</v>
      </c>
      <c r="L116" s="2" t="s">
        <v>1220</v>
      </c>
      <c r="M116" s="2" t="s">
        <v>1221</v>
      </c>
      <c r="N116" s="2" t="s">
        <v>65</v>
      </c>
      <c r="O116" s="2" t="s">
        <v>1222</v>
      </c>
      <c r="P116" s="2" t="s">
        <v>1190</v>
      </c>
      <c r="Q116" s="2" t="s">
        <v>1191</v>
      </c>
      <c r="R116" s="2" t="s">
        <v>39</v>
      </c>
      <c r="S116" s="2" t="s">
        <v>39</v>
      </c>
      <c r="T116" s="2" t="s">
        <v>39</v>
      </c>
      <c r="U116" s="2" t="s">
        <v>40</v>
      </c>
      <c r="V116" s="2" t="s">
        <v>962</v>
      </c>
      <c r="W116" s="2" t="s">
        <v>55</v>
      </c>
    </row>
    <row r="117" spans="1:23" ht="41.4">
      <c r="A117" s="2" t="s">
        <v>1223</v>
      </c>
      <c r="B117" s="2" t="s">
        <v>24</v>
      </c>
      <c r="C117" s="2">
        <v>3</v>
      </c>
      <c r="D117" s="2" t="s">
        <v>950</v>
      </c>
      <c r="E117" s="2" t="s">
        <v>951</v>
      </c>
      <c r="F117" s="2" t="s">
        <v>1224</v>
      </c>
      <c r="G117" s="2" t="s">
        <v>1225</v>
      </c>
      <c r="H117" s="2" t="s">
        <v>1226</v>
      </c>
      <c r="I117" s="2" t="s">
        <v>1227</v>
      </c>
      <c r="J117" s="2" t="s">
        <v>1228</v>
      </c>
      <c r="K117" s="2" t="s">
        <v>88</v>
      </c>
      <c r="L117" s="2" t="s">
        <v>1229</v>
      </c>
      <c r="M117" s="2" t="s">
        <v>1230</v>
      </c>
      <c r="N117" s="2" t="s">
        <v>65</v>
      </c>
      <c r="O117" s="2" t="s">
        <v>1231</v>
      </c>
      <c r="P117" s="2" t="s">
        <v>1232</v>
      </c>
      <c r="Q117" s="2" t="s">
        <v>1233</v>
      </c>
      <c r="R117" s="2" t="s">
        <v>39</v>
      </c>
      <c r="S117" s="2" t="s">
        <v>39</v>
      </c>
      <c r="T117" s="2" t="s">
        <v>39</v>
      </c>
      <c r="U117" s="2" t="s">
        <v>40</v>
      </c>
      <c r="V117" s="2" t="s">
        <v>962</v>
      </c>
      <c r="W117" s="2" t="s">
        <v>55</v>
      </c>
    </row>
    <row r="118" spans="1:23" ht="41.4">
      <c r="A118" s="2" t="s">
        <v>1234</v>
      </c>
      <c r="B118" s="2" t="s">
        <v>24</v>
      </c>
      <c r="C118" s="2">
        <v>3</v>
      </c>
      <c r="D118" s="2" t="s">
        <v>950</v>
      </c>
      <c r="E118" s="2" t="s">
        <v>951</v>
      </c>
      <c r="F118" s="2" t="s">
        <v>1235</v>
      </c>
      <c r="G118" s="2" t="s">
        <v>1236</v>
      </c>
      <c r="H118" s="2" t="s">
        <v>1237</v>
      </c>
      <c r="I118" s="2" t="s">
        <v>1238</v>
      </c>
      <c r="J118" s="2" t="s">
        <v>1239</v>
      </c>
      <c r="K118" s="2" t="s">
        <v>88</v>
      </c>
      <c r="L118" s="2" t="s">
        <v>1240</v>
      </c>
      <c r="M118" s="2" t="s">
        <v>1241</v>
      </c>
      <c r="N118" s="2" t="s">
        <v>65</v>
      </c>
      <c r="O118" s="2" t="s">
        <v>1242</v>
      </c>
      <c r="P118" s="2" t="s">
        <v>1243</v>
      </c>
      <c r="Q118" s="2" t="s">
        <v>1244</v>
      </c>
      <c r="R118" s="2" t="s">
        <v>39</v>
      </c>
      <c r="S118" s="2" t="s">
        <v>39</v>
      </c>
      <c r="T118" s="2" t="s">
        <v>39</v>
      </c>
      <c r="U118" s="2" t="s">
        <v>40</v>
      </c>
      <c r="V118" s="2" t="s">
        <v>962</v>
      </c>
      <c r="W118" s="2" t="s">
        <v>55</v>
      </c>
    </row>
    <row r="119" spans="1:23" ht="41.4">
      <c r="A119" s="2" t="s">
        <v>1245</v>
      </c>
      <c r="B119" s="2" t="s">
        <v>24</v>
      </c>
      <c r="C119" s="2">
        <v>3</v>
      </c>
      <c r="D119" s="2" t="s">
        <v>950</v>
      </c>
      <c r="E119" s="2" t="s">
        <v>951</v>
      </c>
      <c r="F119" s="2" t="s">
        <v>1246</v>
      </c>
      <c r="G119" s="2" t="s">
        <v>592</v>
      </c>
      <c r="H119" s="2" t="s">
        <v>1247</v>
      </c>
      <c r="I119" s="2" t="s">
        <v>1248</v>
      </c>
      <c r="J119" s="2" t="s">
        <v>1249</v>
      </c>
      <c r="K119" s="2" t="s">
        <v>32</v>
      </c>
      <c r="L119" s="2" t="s">
        <v>1250</v>
      </c>
      <c r="M119" s="2" t="s">
        <v>1251</v>
      </c>
      <c r="N119" s="2" t="s">
        <v>65</v>
      </c>
      <c r="O119" s="2" t="s">
        <v>1252</v>
      </c>
      <c r="P119" s="2" t="s">
        <v>1253</v>
      </c>
      <c r="Q119" s="2" t="s">
        <v>1254</v>
      </c>
      <c r="R119" s="2" t="s">
        <v>39</v>
      </c>
      <c r="S119" s="2" t="s">
        <v>39</v>
      </c>
      <c r="T119" s="2" t="s">
        <v>39</v>
      </c>
      <c r="U119" s="2" t="s">
        <v>40</v>
      </c>
      <c r="V119" s="2" t="s">
        <v>962</v>
      </c>
      <c r="W119" s="2" t="s">
        <v>55</v>
      </c>
    </row>
    <row r="120" spans="1:23" ht="55.2">
      <c r="A120" s="2" t="s">
        <v>1255</v>
      </c>
      <c r="B120" s="2" t="s">
        <v>24</v>
      </c>
      <c r="C120" s="2">
        <v>3</v>
      </c>
      <c r="D120" s="2" t="s">
        <v>950</v>
      </c>
      <c r="E120" s="2" t="s">
        <v>951</v>
      </c>
      <c r="F120" s="2" t="s">
        <v>1256</v>
      </c>
      <c r="G120" s="2" t="s">
        <v>1257</v>
      </c>
      <c r="H120" s="2" t="s">
        <v>1258</v>
      </c>
      <c r="I120" s="2" t="s">
        <v>1259</v>
      </c>
      <c r="J120" s="2" t="s">
        <v>1260</v>
      </c>
      <c r="K120" s="2" t="s">
        <v>76</v>
      </c>
      <c r="L120" s="2" t="s">
        <v>1261</v>
      </c>
      <c r="M120" s="2" t="s">
        <v>1262</v>
      </c>
      <c r="N120" s="2" t="s">
        <v>65</v>
      </c>
      <c r="O120" s="2" t="s">
        <v>1263</v>
      </c>
      <c r="P120" s="2" t="s">
        <v>1264</v>
      </c>
      <c r="Q120" s="2" t="s">
        <v>1265</v>
      </c>
      <c r="R120" s="2" t="s">
        <v>39</v>
      </c>
      <c r="S120" s="2" t="s">
        <v>39</v>
      </c>
      <c r="T120" s="2" t="s">
        <v>39</v>
      </c>
      <c r="U120" s="2" t="s">
        <v>40</v>
      </c>
      <c r="V120" s="2" t="s">
        <v>962</v>
      </c>
      <c r="W120" s="2" t="s">
        <v>55</v>
      </c>
    </row>
    <row r="121" spans="1:23" ht="41.4">
      <c r="A121" s="2" t="s">
        <v>1266</v>
      </c>
      <c r="B121" s="2" t="s">
        <v>24</v>
      </c>
      <c r="C121" s="2">
        <v>3</v>
      </c>
      <c r="D121" s="2" t="s">
        <v>950</v>
      </c>
      <c r="E121" s="2" t="s">
        <v>951</v>
      </c>
      <c r="F121" s="2" t="s">
        <v>1267</v>
      </c>
      <c r="G121" s="2" t="s">
        <v>1268</v>
      </c>
      <c r="H121" s="2" t="s">
        <v>1269</v>
      </c>
      <c r="I121" s="2" t="s">
        <v>1270</v>
      </c>
      <c r="J121" s="2" t="s">
        <v>1271</v>
      </c>
      <c r="K121" s="2" t="s">
        <v>88</v>
      </c>
      <c r="L121" s="2" t="s">
        <v>1272</v>
      </c>
      <c r="M121" s="2" t="s">
        <v>1273</v>
      </c>
      <c r="N121" s="2" t="s">
        <v>191</v>
      </c>
      <c r="O121" s="2" t="s">
        <v>1274</v>
      </c>
      <c r="P121" s="2" t="s">
        <v>1275</v>
      </c>
      <c r="Q121" s="2" t="s">
        <v>1276</v>
      </c>
      <c r="R121" s="2" t="s">
        <v>39</v>
      </c>
      <c r="S121" s="2" t="s">
        <v>39</v>
      </c>
      <c r="T121" s="2" t="s">
        <v>39</v>
      </c>
      <c r="U121" s="2" t="s">
        <v>40</v>
      </c>
      <c r="V121" s="2" t="s">
        <v>962</v>
      </c>
      <c r="W121" s="2" t="s">
        <v>42</v>
      </c>
    </row>
    <row r="122" spans="1:23" ht="41.4">
      <c r="A122" s="2" t="s">
        <v>1277</v>
      </c>
      <c r="B122" s="2" t="s">
        <v>24</v>
      </c>
      <c r="C122" s="2">
        <v>3</v>
      </c>
      <c r="D122" s="2" t="s">
        <v>950</v>
      </c>
      <c r="E122" s="2" t="s">
        <v>951</v>
      </c>
      <c r="F122" s="2" t="s">
        <v>1278</v>
      </c>
      <c r="G122" s="2" t="s">
        <v>1279</v>
      </c>
      <c r="H122" s="2" t="s">
        <v>1280</v>
      </c>
      <c r="I122" s="2" t="s">
        <v>1281</v>
      </c>
      <c r="J122" s="2" t="s">
        <v>1282</v>
      </c>
      <c r="K122" s="2" t="s">
        <v>32</v>
      </c>
      <c r="L122" s="2" t="s">
        <v>1283</v>
      </c>
      <c r="M122" s="2" t="s">
        <v>1284</v>
      </c>
      <c r="N122" s="2" t="s">
        <v>65</v>
      </c>
      <c r="O122" s="2" t="s">
        <v>1285</v>
      </c>
      <c r="P122" s="2" t="s">
        <v>1286</v>
      </c>
      <c r="Q122" s="2" t="s">
        <v>1287</v>
      </c>
      <c r="R122" s="2" t="s">
        <v>39</v>
      </c>
      <c r="S122" s="2" t="s">
        <v>39</v>
      </c>
      <c r="T122" s="2" t="s">
        <v>39</v>
      </c>
      <c r="U122" s="2" t="s">
        <v>40</v>
      </c>
      <c r="V122" s="2" t="s">
        <v>962</v>
      </c>
      <c r="W122" s="2" t="s">
        <v>55</v>
      </c>
    </row>
    <row r="123" spans="1:23" ht="41.4">
      <c r="A123" s="2" t="s">
        <v>1288</v>
      </c>
      <c r="B123" s="2" t="s">
        <v>24</v>
      </c>
      <c r="C123" s="2">
        <v>3</v>
      </c>
      <c r="D123" s="2" t="s">
        <v>950</v>
      </c>
      <c r="E123" s="2" t="s">
        <v>951</v>
      </c>
      <c r="F123" s="2" t="s">
        <v>1289</v>
      </c>
      <c r="G123" s="2" t="s">
        <v>1290</v>
      </c>
      <c r="H123" s="2" t="s">
        <v>1291</v>
      </c>
      <c r="I123" s="2" t="s">
        <v>1292</v>
      </c>
      <c r="J123" s="2" t="s">
        <v>1293</v>
      </c>
      <c r="K123" s="2" t="s">
        <v>88</v>
      </c>
      <c r="L123" s="2" t="s">
        <v>1294</v>
      </c>
      <c r="M123" s="2" t="s">
        <v>1295</v>
      </c>
      <c r="N123" s="2" t="s">
        <v>65</v>
      </c>
      <c r="O123" s="2" t="s">
        <v>1296</v>
      </c>
      <c r="P123" s="2" t="s">
        <v>1297</v>
      </c>
      <c r="Q123" s="2" t="s">
        <v>1298</v>
      </c>
      <c r="R123" s="2" t="s">
        <v>39</v>
      </c>
      <c r="S123" s="2" t="s">
        <v>39</v>
      </c>
      <c r="T123" s="2" t="s">
        <v>39</v>
      </c>
      <c r="U123" s="2" t="s">
        <v>40</v>
      </c>
      <c r="V123" s="2" t="s">
        <v>962</v>
      </c>
      <c r="W123" s="2" t="s">
        <v>55</v>
      </c>
    </row>
    <row r="124" spans="1:23" ht="41.4">
      <c r="A124" s="2" t="s">
        <v>1299</v>
      </c>
      <c r="B124" s="2" t="s">
        <v>24</v>
      </c>
      <c r="C124" s="2">
        <v>3</v>
      </c>
      <c r="D124" s="2" t="s">
        <v>950</v>
      </c>
      <c r="E124" s="2" t="s">
        <v>951</v>
      </c>
      <c r="F124" s="2" t="s">
        <v>1300</v>
      </c>
      <c r="G124" s="2" t="s">
        <v>1301</v>
      </c>
      <c r="H124" s="2" t="s">
        <v>1302</v>
      </c>
      <c r="I124" s="2" t="s">
        <v>1303</v>
      </c>
      <c r="J124" s="2" t="s">
        <v>1197</v>
      </c>
      <c r="K124" s="2" t="s">
        <v>62</v>
      </c>
      <c r="L124" s="2" t="s">
        <v>1304</v>
      </c>
      <c r="M124" s="2" t="s">
        <v>1305</v>
      </c>
      <c r="N124" s="2" t="s">
        <v>65</v>
      </c>
      <c r="O124" s="2" t="s">
        <v>1306</v>
      </c>
      <c r="P124" s="2" t="s">
        <v>1307</v>
      </c>
      <c r="Q124" s="2" t="s">
        <v>1308</v>
      </c>
      <c r="R124" s="2" t="s">
        <v>39</v>
      </c>
      <c r="S124" s="2" t="s">
        <v>39</v>
      </c>
      <c r="T124" s="2" t="s">
        <v>39</v>
      </c>
      <c r="U124" s="2" t="s">
        <v>40</v>
      </c>
      <c r="V124" s="2" t="s">
        <v>962</v>
      </c>
      <c r="W124" s="2" t="s">
        <v>55</v>
      </c>
    </row>
    <row r="125" spans="1:23" ht="55.2">
      <c r="A125" s="2" t="s">
        <v>1309</v>
      </c>
      <c r="B125" s="2" t="s">
        <v>24</v>
      </c>
      <c r="C125" s="2">
        <v>3</v>
      </c>
      <c r="D125" s="2" t="s">
        <v>950</v>
      </c>
      <c r="E125" s="2" t="s">
        <v>951</v>
      </c>
      <c r="F125" s="2" t="s">
        <v>1310</v>
      </c>
      <c r="G125" s="2" t="s">
        <v>1311</v>
      </c>
      <c r="H125" s="2" t="s">
        <v>1312</v>
      </c>
      <c r="I125" s="2" t="s">
        <v>1313</v>
      </c>
      <c r="J125" s="2" t="s">
        <v>1314</v>
      </c>
      <c r="K125" s="2" t="s">
        <v>76</v>
      </c>
      <c r="L125" s="2" t="s">
        <v>1315</v>
      </c>
      <c r="M125" s="2" t="s">
        <v>1316</v>
      </c>
      <c r="N125" s="2" t="s">
        <v>65</v>
      </c>
      <c r="O125" s="2" t="s">
        <v>1317</v>
      </c>
      <c r="P125" s="2" t="s">
        <v>1318</v>
      </c>
      <c r="Q125" s="2" t="s">
        <v>1319</v>
      </c>
      <c r="R125" s="2" t="s">
        <v>39</v>
      </c>
      <c r="S125" s="2" t="s">
        <v>39</v>
      </c>
      <c r="T125" s="2" t="s">
        <v>39</v>
      </c>
      <c r="U125" s="2" t="s">
        <v>40</v>
      </c>
      <c r="V125" s="2" t="s">
        <v>962</v>
      </c>
      <c r="W125" s="2" t="s">
        <v>42</v>
      </c>
    </row>
    <row r="126" spans="1:23" ht="41.4">
      <c r="A126" s="2" t="s">
        <v>1320</v>
      </c>
      <c r="B126" s="2" t="s">
        <v>24</v>
      </c>
      <c r="C126" s="2">
        <v>3</v>
      </c>
      <c r="D126" s="2" t="s">
        <v>950</v>
      </c>
      <c r="E126" s="2" t="s">
        <v>951</v>
      </c>
      <c r="F126" s="2" t="s">
        <v>1321</v>
      </c>
      <c r="G126" s="2" t="s">
        <v>1312</v>
      </c>
      <c r="H126" s="2" t="s">
        <v>1311</v>
      </c>
      <c r="I126" s="2" t="s">
        <v>1322</v>
      </c>
      <c r="J126" s="2" t="s">
        <v>1323</v>
      </c>
      <c r="K126" s="2" t="s">
        <v>62</v>
      </c>
      <c r="L126" s="2" t="s">
        <v>1324</v>
      </c>
      <c r="M126" s="2" t="s">
        <v>1325</v>
      </c>
      <c r="N126" s="2" t="s">
        <v>65</v>
      </c>
      <c r="O126" s="2" t="s">
        <v>1326</v>
      </c>
      <c r="P126" s="2" t="s">
        <v>1327</v>
      </c>
      <c r="Q126" s="2" t="s">
        <v>1328</v>
      </c>
      <c r="R126" s="2" t="s">
        <v>39</v>
      </c>
      <c r="S126" s="2" t="s">
        <v>39</v>
      </c>
      <c r="T126" s="2" t="s">
        <v>39</v>
      </c>
      <c r="U126" s="2" t="s">
        <v>40</v>
      </c>
      <c r="V126" s="2" t="s">
        <v>962</v>
      </c>
      <c r="W126" s="2" t="s">
        <v>42</v>
      </c>
    </row>
    <row r="127" spans="1:23" ht="55.2">
      <c r="A127" s="2" t="s">
        <v>1329</v>
      </c>
      <c r="B127" s="2" t="s">
        <v>24</v>
      </c>
      <c r="C127" s="2">
        <v>3</v>
      </c>
      <c r="D127" s="2" t="s">
        <v>950</v>
      </c>
      <c r="E127" s="2" t="s">
        <v>951</v>
      </c>
      <c r="F127" s="2" t="s">
        <v>1330</v>
      </c>
      <c r="G127" s="2" t="s">
        <v>1331</v>
      </c>
      <c r="H127" s="2" t="s">
        <v>689</v>
      </c>
      <c r="I127" s="2" t="s">
        <v>1332</v>
      </c>
      <c r="J127" s="2" t="s">
        <v>540</v>
      </c>
      <c r="K127" s="2" t="s">
        <v>32</v>
      </c>
      <c r="L127" s="2" t="s">
        <v>1333</v>
      </c>
      <c r="M127" s="2" t="s">
        <v>1334</v>
      </c>
      <c r="N127" s="2" t="s">
        <v>65</v>
      </c>
      <c r="O127" s="2" t="s">
        <v>1335</v>
      </c>
      <c r="P127" s="2" t="s">
        <v>1336</v>
      </c>
      <c r="Q127" s="2" t="s">
        <v>1337</v>
      </c>
      <c r="R127" s="2" t="s">
        <v>39</v>
      </c>
      <c r="S127" s="2" t="s">
        <v>39</v>
      </c>
      <c r="T127" s="2" t="s">
        <v>39</v>
      </c>
      <c r="U127" s="2" t="s">
        <v>40</v>
      </c>
      <c r="V127" s="2" t="s">
        <v>962</v>
      </c>
      <c r="W127" s="2" t="s">
        <v>55</v>
      </c>
    </row>
    <row r="128" spans="1:23" ht="55.2">
      <c r="A128" s="2" t="s">
        <v>1338</v>
      </c>
      <c r="B128" s="2" t="s">
        <v>24</v>
      </c>
      <c r="C128" s="2">
        <v>3</v>
      </c>
      <c r="D128" s="2" t="s">
        <v>950</v>
      </c>
      <c r="E128" s="2" t="s">
        <v>951</v>
      </c>
      <c r="F128" s="2" t="s">
        <v>1339</v>
      </c>
      <c r="G128" s="2" t="s">
        <v>1340</v>
      </c>
      <c r="H128" s="2" t="s">
        <v>1341</v>
      </c>
      <c r="I128" s="2" t="s">
        <v>1342</v>
      </c>
      <c r="J128" s="2" t="s">
        <v>1343</v>
      </c>
      <c r="K128" s="2" t="s">
        <v>88</v>
      </c>
      <c r="L128" s="2" t="s">
        <v>1344</v>
      </c>
      <c r="M128" s="2" t="s">
        <v>1221</v>
      </c>
      <c r="N128" s="2" t="s">
        <v>65</v>
      </c>
      <c r="O128" s="2" t="s">
        <v>1345</v>
      </c>
      <c r="P128" s="2" t="s">
        <v>1346</v>
      </c>
      <c r="Q128" s="2" t="s">
        <v>1347</v>
      </c>
      <c r="R128" s="2" t="s">
        <v>39</v>
      </c>
      <c r="S128" s="2" t="s">
        <v>39</v>
      </c>
      <c r="T128" s="2" t="s">
        <v>39</v>
      </c>
      <c r="U128" s="2" t="s">
        <v>40</v>
      </c>
      <c r="V128" s="2" t="s">
        <v>962</v>
      </c>
      <c r="W128" s="2" t="s">
        <v>42</v>
      </c>
    </row>
    <row r="129" spans="1:23" ht="41.4">
      <c r="A129" s="2" t="s">
        <v>1348</v>
      </c>
      <c r="B129" s="2" t="s">
        <v>24</v>
      </c>
      <c r="C129" s="2">
        <v>4</v>
      </c>
      <c r="D129" s="2" t="s">
        <v>1349</v>
      </c>
      <c r="E129" s="2" t="s">
        <v>1350</v>
      </c>
      <c r="F129" s="2" t="s">
        <v>1351</v>
      </c>
      <c r="G129" s="2" t="s">
        <v>1352</v>
      </c>
      <c r="H129" s="2" t="s">
        <v>1353</v>
      </c>
      <c r="I129" s="2" t="s">
        <v>1354</v>
      </c>
      <c r="J129" s="2" t="s">
        <v>1355</v>
      </c>
      <c r="K129" s="2" t="s">
        <v>88</v>
      </c>
      <c r="L129" s="2" t="s">
        <v>1356</v>
      </c>
      <c r="M129" s="2" t="s">
        <v>1357</v>
      </c>
      <c r="N129" s="2" t="s">
        <v>65</v>
      </c>
      <c r="O129" s="2" t="s">
        <v>1358</v>
      </c>
      <c r="P129" s="2" t="s">
        <v>1359</v>
      </c>
      <c r="Q129" s="2" t="s">
        <v>1360</v>
      </c>
      <c r="R129" s="2" t="s">
        <v>39</v>
      </c>
      <c r="S129" s="2" t="s">
        <v>39</v>
      </c>
      <c r="T129" s="2" t="s">
        <v>39</v>
      </c>
      <c r="U129" s="2" t="s">
        <v>40</v>
      </c>
      <c r="V129" s="2" t="s">
        <v>1361</v>
      </c>
      <c r="W129" s="2" t="s">
        <v>55</v>
      </c>
    </row>
    <row r="130" spans="1:23" ht="41.4">
      <c r="A130" s="2" t="s">
        <v>1362</v>
      </c>
      <c r="B130" s="2" t="s">
        <v>24</v>
      </c>
      <c r="C130" s="2">
        <v>4</v>
      </c>
      <c r="D130" s="2" t="s">
        <v>1349</v>
      </c>
      <c r="E130" s="2" t="s">
        <v>1350</v>
      </c>
      <c r="F130" s="2" t="s">
        <v>1363</v>
      </c>
      <c r="G130" s="2" t="s">
        <v>1364</v>
      </c>
      <c r="H130" s="2" t="s">
        <v>1365</v>
      </c>
      <c r="I130" s="2" t="s">
        <v>1366</v>
      </c>
      <c r="J130" s="2" t="s">
        <v>1367</v>
      </c>
      <c r="K130" s="2" t="s">
        <v>32</v>
      </c>
      <c r="L130" s="2" t="s">
        <v>1368</v>
      </c>
      <c r="M130" s="2" t="s">
        <v>1369</v>
      </c>
      <c r="N130" s="2" t="s">
        <v>191</v>
      </c>
      <c r="O130" s="2" t="s">
        <v>1370</v>
      </c>
      <c r="P130" s="2" t="s">
        <v>1371</v>
      </c>
      <c r="Q130" s="2" t="s">
        <v>1372</v>
      </c>
      <c r="R130" s="2" t="s">
        <v>39</v>
      </c>
      <c r="S130" s="2" t="s">
        <v>39</v>
      </c>
      <c r="T130" s="2" t="s">
        <v>39</v>
      </c>
      <c r="U130" s="2" t="s">
        <v>40</v>
      </c>
      <c r="V130" s="2" t="s">
        <v>1361</v>
      </c>
      <c r="W130" s="2" t="s">
        <v>55</v>
      </c>
    </row>
    <row r="131" spans="1:23" ht="27.6">
      <c r="A131" s="2" t="s">
        <v>1373</v>
      </c>
      <c r="B131" s="2" t="s">
        <v>24</v>
      </c>
      <c r="C131" s="2">
        <v>4</v>
      </c>
      <c r="D131" s="2" t="s">
        <v>1349</v>
      </c>
      <c r="E131" s="2" t="s">
        <v>1350</v>
      </c>
      <c r="F131" s="2" t="s">
        <v>1374</v>
      </c>
      <c r="G131" s="2" t="s">
        <v>309</v>
      </c>
      <c r="H131" s="2" t="s">
        <v>1375</v>
      </c>
      <c r="I131" s="2" t="s">
        <v>1376</v>
      </c>
      <c r="J131" s="2" t="s">
        <v>1377</v>
      </c>
      <c r="K131" s="2" t="s">
        <v>32</v>
      </c>
      <c r="L131" s="2" t="s">
        <v>1378</v>
      </c>
      <c r="M131" s="2" t="s">
        <v>1379</v>
      </c>
      <c r="N131" s="2" t="s">
        <v>65</v>
      </c>
      <c r="O131" s="2" t="s">
        <v>1380</v>
      </c>
      <c r="P131" s="2" t="s">
        <v>1381</v>
      </c>
      <c r="Q131" s="2" t="s">
        <v>1382</v>
      </c>
      <c r="R131" s="2" t="s">
        <v>39</v>
      </c>
      <c r="S131" s="2" t="s">
        <v>39</v>
      </c>
      <c r="T131" s="2" t="s">
        <v>39</v>
      </c>
      <c r="U131" s="2" t="s">
        <v>40</v>
      </c>
      <c r="V131" s="2" t="s">
        <v>1361</v>
      </c>
      <c r="W131" s="2" t="s">
        <v>55</v>
      </c>
    </row>
    <row r="132" spans="1:23" ht="41.4">
      <c r="A132" s="2" t="s">
        <v>1383</v>
      </c>
      <c r="B132" s="2" t="s">
        <v>24</v>
      </c>
      <c r="C132" s="2">
        <v>4</v>
      </c>
      <c r="D132" s="2" t="s">
        <v>1349</v>
      </c>
      <c r="E132" s="2" t="s">
        <v>1350</v>
      </c>
      <c r="F132" s="2" t="s">
        <v>1384</v>
      </c>
      <c r="G132" s="2" t="s">
        <v>1364</v>
      </c>
      <c r="H132" s="2" t="s">
        <v>1385</v>
      </c>
      <c r="I132" s="2" t="s">
        <v>1367</v>
      </c>
      <c r="J132" s="2" t="s">
        <v>1386</v>
      </c>
      <c r="K132" s="2" t="s">
        <v>62</v>
      </c>
      <c r="L132" s="2" t="s">
        <v>1387</v>
      </c>
      <c r="M132" s="2" t="s">
        <v>1388</v>
      </c>
      <c r="N132" s="2" t="s">
        <v>65</v>
      </c>
      <c r="O132" s="2" t="s">
        <v>1389</v>
      </c>
      <c r="P132" s="2" t="s">
        <v>1390</v>
      </c>
      <c r="Q132" s="2" t="s">
        <v>1391</v>
      </c>
      <c r="R132" s="2" t="s">
        <v>39</v>
      </c>
      <c r="S132" s="2" t="s">
        <v>39</v>
      </c>
      <c r="T132" s="2" t="s">
        <v>39</v>
      </c>
      <c r="U132" s="2" t="s">
        <v>40</v>
      </c>
      <c r="V132" s="2" t="s">
        <v>1361</v>
      </c>
      <c r="W132" s="2" t="s">
        <v>42</v>
      </c>
    </row>
    <row r="133" spans="1:23" ht="55.2">
      <c r="A133" s="2" t="s">
        <v>1392</v>
      </c>
      <c r="B133" s="2" t="s">
        <v>24</v>
      </c>
      <c r="C133" s="2">
        <v>4</v>
      </c>
      <c r="D133" s="2" t="s">
        <v>1349</v>
      </c>
      <c r="E133" s="2" t="s">
        <v>1350</v>
      </c>
      <c r="F133" s="2" t="s">
        <v>1393</v>
      </c>
      <c r="G133" s="2" t="s">
        <v>1394</v>
      </c>
      <c r="H133" s="2" t="s">
        <v>1395</v>
      </c>
      <c r="I133" s="2" t="s">
        <v>1396</v>
      </c>
      <c r="J133" s="2" t="s">
        <v>1397</v>
      </c>
      <c r="K133" s="2" t="s">
        <v>88</v>
      </c>
      <c r="L133" s="2" t="s">
        <v>1398</v>
      </c>
      <c r="M133" s="2" t="s">
        <v>1399</v>
      </c>
      <c r="N133" s="2" t="s">
        <v>65</v>
      </c>
      <c r="O133" s="2" t="s">
        <v>1400</v>
      </c>
      <c r="P133" s="2" t="s">
        <v>1401</v>
      </c>
      <c r="Q133" s="2" t="s">
        <v>1402</v>
      </c>
      <c r="R133" s="2" t="s">
        <v>39</v>
      </c>
      <c r="S133" s="2" t="s">
        <v>39</v>
      </c>
      <c r="T133" s="2" t="s">
        <v>39</v>
      </c>
      <c r="U133" s="2" t="s">
        <v>40</v>
      </c>
      <c r="V133" s="2" t="s">
        <v>1361</v>
      </c>
      <c r="W133" s="2" t="s">
        <v>55</v>
      </c>
    </row>
    <row r="134" spans="1:23" ht="69">
      <c r="A134" s="2" t="s">
        <v>1403</v>
      </c>
      <c r="B134" s="2" t="s">
        <v>24</v>
      </c>
      <c r="C134" s="2">
        <v>4</v>
      </c>
      <c r="D134" s="2" t="s">
        <v>1349</v>
      </c>
      <c r="E134" s="2" t="s">
        <v>1350</v>
      </c>
      <c r="F134" s="2" t="s">
        <v>1404</v>
      </c>
      <c r="G134" s="2" t="s">
        <v>1405</v>
      </c>
      <c r="H134" s="2" t="s">
        <v>1406</v>
      </c>
      <c r="I134" s="2" t="s">
        <v>1407</v>
      </c>
      <c r="J134" s="2" t="s">
        <v>1408</v>
      </c>
      <c r="K134" s="2" t="s">
        <v>62</v>
      </c>
      <c r="L134" s="2" t="s">
        <v>1409</v>
      </c>
      <c r="M134" s="2" t="s">
        <v>1410</v>
      </c>
      <c r="N134" s="2" t="s">
        <v>65</v>
      </c>
      <c r="O134" s="2" t="s">
        <v>1411</v>
      </c>
      <c r="P134" s="2" t="s">
        <v>1412</v>
      </c>
      <c r="Q134" s="2" t="s">
        <v>1413</v>
      </c>
      <c r="R134" s="2" t="s">
        <v>39</v>
      </c>
      <c r="S134" s="2" t="s">
        <v>39</v>
      </c>
      <c r="T134" s="2" t="s">
        <v>39</v>
      </c>
      <c r="U134" s="2" t="s">
        <v>40</v>
      </c>
      <c r="V134" s="2" t="s">
        <v>1361</v>
      </c>
      <c r="W134" s="2" t="s">
        <v>55</v>
      </c>
    </row>
    <row r="135" spans="1:23" ht="55.2">
      <c r="A135" s="2" t="s">
        <v>1414</v>
      </c>
      <c r="B135" s="2" t="s">
        <v>24</v>
      </c>
      <c r="C135" s="2">
        <v>4</v>
      </c>
      <c r="D135" s="2" t="s">
        <v>1349</v>
      </c>
      <c r="E135" s="2" t="s">
        <v>1350</v>
      </c>
      <c r="F135" s="2" t="s">
        <v>1415</v>
      </c>
      <c r="G135" s="2" t="s">
        <v>1416</v>
      </c>
      <c r="H135" s="2" t="s">
        <v>1417</v>
      </c>
      <c r="I135" s="2" t="s">
        <v>1418</v>
      </c>
      <c r="J135" s="2" t="s">
        <v>1419</v>
      </c>
      <c r="K135" s="2" t="s">
        <v>88</v>
      </c>
      <c r="L135" s="2" t="s">
        <v>1420</v>
      </c>
      <c r="M135" s="2" t="s">
        <v>1421</v>
      </c>
      <c r="N135" s="2" t="s">
        <v>65</v>
      </c>
      <c r="O135" s="2" t="s">
        <v>1422</v>
      </c>
      <c r="P135" s="2" t="s">
        <v>1423</v>
      </c>
      <c r="Q135" s="2" t="s">
        <v>1424</v>
      </c>
      <c r="R135" s="2" t="s">
        <v>39</v>
      </c>
      <c r="S135" s="2" t="s">
        <v>39</v>
      </c>
      <c r="T135" s="2" t="s">
        <v>39</v>
      </c>
      <c r="U135" s="2" t="s">
        <v>40</v>
      </c>
      <c r="V135" s="2" t="s">
        <v>1361</v>
      </c>
      <c r="W135" s="2" t="s">
        <v>55</v>
      </c>
    </row>
    <row r="136" spans="1:23" ht="41.4">
      <c r="A136" s="2" t="s">
        <v>1425</v>
      </c>
      <c r="B136" s="2" t="s">
        <v>24</v>
      </c>
      <c r="C136" s="2">
        <v>4</v>
      </c>
      <c r="D136" s="2" t="s">
        <v>1349</v>
      </c>
      <c r="E136" s="2" t="s">
        <v>1350</v>
      </c>
      <c r="F136" s="2" t="s">
        <v>1426</v>
      </c>
      <c r="G136" s="2" t="s">
        <v>1427</v>
      </c>
      <c r="H136" s="2" t="s">
        <v>312</v>
      </c>
      <c r="I136" s="2" t="s">
        <v>1428</v>
      </c>
      <c r="J136" s="2" t="s">
        <v>1429</v>
      </c>
      <c r="K136" s="2" t="s">
        <v>88</v>
      </c>
      <c r="L136" s="2" t="s">
        <v>1430</v>
      </c>
      <c r="M136" s="2" t="s">
        <v>1431</v>
      </c>
      <c r="N136" s="2" t="s">
        <v>65</v>
      </c>
      <c r="O136" s="2" t="s">
        <v>1432</v>
      </c>
      <c r="P136" s="2" t="s">
        <v>1433</v>
      </c>
      <c r="Q136" s="2" t="s">
        <v>1434</v>
      </c>
      <c r="R136" s="2" t="s">
        <v>39</v>
      </c>
      <c r="S136" s="2" t="s">
        <v>39</v>
      </c>
      <c r="T136" s="2" t="s">
        <v>39</v>
      </c>
      <c r="U136" s="2" t="s">
        <v>40</v>
      </c>
      <c r="V136" s="2" t="s">
        <v>1361</v>
      </c>
      <c r="W136" s="2" t="s">
        <v>55</v>
      </c>
    </row>
    <row r="137" spans="1:23" ht="41.4">
      <c r="A137" s="2" t="s">
        <v>1435</v>
      </c>
      <c r="B137" s="2" t="s">
        <v>24</v>
      </c>
      <c r="C137" s="2">
        <v>4</v>
      </c>
      <c r="D137" s="2" t="s">
        <v>1349</v>
      </c>
      <c r="E137" s="2" t="s">
        <v>1350</v>
      </c>
      <c r="F137" s="2" t="s">
        <v>1436</v>
      </c>
      <c r="G137" s="2" t="s">
        <v>1437</v>
      </c>
      <c r="H137" s="2" t="s">
        <v>1438</v>
      </c>
      <c r="I137" s="2" t="s">
        <v>1439</v>
      </c>
      <c r="J137" s="2" t="s">
        <v>815</v>
      </c>
      <c r="K137" s="2" t="s">
        <v>32</v>
      </c>
      <c r="L137" s="2" t="s">
        <v>1440</v>
      </c>
      <c r="M137" s="2" t="s">
        <v>1441</v>
      </c>
      <c r="N137" s="2" t="s">
        <v>65</v>
      </c>
      <c r="O137" s="2" t="s">
        <v>1442</v>
      </c>
      <c r="P137" s="2" t="s">
        <v>1443</v>
      </c>
      <c r="Q137" s="2" t="s">
        <v>1444</v>
      </c>
      <c r="R137" s="2" t="s">
        <v>39</v>
      </c>
      <c r="S137" s="2" t="s">
        <v>39</v>
      </c>
      <c r="T137" s="2" t="s">
        <v>39</v>
      </c>
      <c r="U137" s="2" t="s">
        <v>40</v>
      </c>
      <c r="V137" s="2" t="s">
        <v>1361</v>
      </c>
      <c r="W137" s="2" t="s">
        <v>55</v>
      </c>
    </row>
    <row r="138" spans="1:23" ht="41.4">
      <c r="A138" s="2" t="s">
        <v>1445</v>
      </c>
      <c r="B138" s="2" t="s">
        <v>24</v>
      </c>
      <c r="C138" s="2">
        <v>4</v>
      </c>
      <c r="D138" s="2" t="s">
        <v>1349</v>
      </c>
      <c r="E138" s="2" t="s">
        <v>1350</v>
      </c>
      <c r="F138" s="2" t="s">
        <v>1446</v>
      </c>
      <c r="G138" s="2" t="s">
        <v>1447</v>
      </c>
      <c r="H138" s="2" t="s">
        <v>1448</v>
      </c>
      <c r="I138" s="2" t="s">
        <v>1449</v>
      </c>
      <c r="J138" s="2" t="s">
        <v>1450</v>
      </c>
      <c r="K138" s="2" t="s">
        <v>32</v>
      </c>
      <c r="L138" s="2" t="s">
        <v>1451</v>
      </c>
      <c r="M138" s="2" t="s">
        <v>1452</v>
      </c>
      <c r="N138" s="2" t="s">
        <v>191</v>
      </c>
      <c r="O138" s="2" t="s">
        <v>1453</v>
      </c>
      <c r="P138" s="2" t="s">
        <v>1454</v>
      </c>
      <c r="Q138" s="2" t="s">
        <v>1455</v>
      </c>
      <c r="R138" s="2" t="s">
        <v>39</v>
      </c>
      <c r="S138" s="2" t="s">
        <v>39</v>
      </c>
      <c r="T138" s="2" t="s">
        <v>39</v>
      </c>
      <c r="U138" s="2" t="s">
        <v>40</v>
      </c>
      <c r="V138" s="2" t="s">
        <v>1361</v>
      </c>
      <c r="W138" s="2" t="s">
        <v>55</v>
      </c>
    </row>
    <row r="139" spans="1:23" ht="27.6">
      <c r="A139" s="2" t="s">
        <v>1456</v>
      </c>
      <c r="B139" s="2" t="s">
        <v>24</v>
      </c>
      <c r="C139" s="2">
        <v>4</v>
      </c>
      <c r="D139" s="2" t="s">
        <v>1349</v>
      </c>
      <c r="E139" s="2" t="s">
        <v>1350</v>
      </c>
      <c r="F139" s="2" t="s">
        <v>1457</v>
      </c>
      <c r="G139" s="2" t="s">
        <v>1458</v>
      </c>
      <c r="H139" s="2" t="s">
        <v>1459</v>
      </c>
      <c r="I139" s="2" t="s">
        <v>1460</v>
      </c>
      <c r="J139" s="2" t="s">
        <v>1461</v>
      </c>
      <c r="K139" s="2" t="s">
        <v>62</v>
      </c>
      <c r="L139" s="2" t="s">
        <v>1462</v>
      </c>
      <c r="M139" s="2" t="s">
        <v>1463</v>
      </c>
      <c r="N139" s="2" t="s">
        <v>65</v>
      </c>
      <c r="O139" s="2" t="s">
        <v>1464</v>
      </c>
      <c r="P139" s="2" t="s">
        <v>1465</v>
      </c>
      <c r="Q139" s="2" t="s">
        <v>1466</v>
      </c>
      <c r="R139" s="2" t="s">
        <v>39</v>
      </c>
      <c r="S139" s="2" t="s">
        <v>39</v>
      </c>
      <c r="T139" s="2" t="s">
        <v>39</v>
      </c>
      <c r="U139" s="2" t="s">
        <v>40</v>
      </c>
      <c r="V139" s="2" t="s">
        <v>1361</v>
      </c>
      <c r="W139" s="2" t="s">
        <v>55</v>
      </c>
    </row>
    <row r="140" spans="1:23" ht="55.2">
      <c r="A140" s="2" t="s">
        <v>1467</v>
      </c>
      <c r="B140" s="2" t="s">
        <v>24</v>
      </c>
      <c r="C140" s="2">
        <v>4</v>
      </c>
      <c r="D140" s="2" t="s">
        <v>1349</v>
      </c>
      <c r="E140" s="2" t="s">
        <v>1350</v>
      </c>
      <c r="F140" s="2" t="s">
        <v>1468</v>
      </c>
      <c r="G140" s="2" t="s">
        <v>1469</v>
      </c>
      <c r="H140" s="2" t="s">
        <v>1470</v>
      </c>
      <c r="I140" s="2" t="s">
        <v>1386</v>
      </c>
      <c r="J140" s="2" t="s">
        <v>1471</v>
      </c>
      <c r="K140" s="2" t="s">
        <v>62</v>
      </c>
      <c r="L140" s="2" t="s">
        <v>1472</v>
      </c>
      <c r="M140" s="2" t="s">
        <v>1473</v>
      </c>
      <c r="N140" s="2" t="s">
        <v>191</v>
      </c>
      <c r="O140" s="2" t="s">
        <v>1474</v>
      </c>
      <c r="P140" s="2" t="s">
        <v>1475</v>
      </c>
      <c r="Q140" s="2" t="s">
        <v>1476</v>
      </c>
      <c r="R140" s="2" t="s">
        <v>39</v>
      </c>
      <c r="S140" s="2" t="s">
        <v>39</v>
      </c>
      <c r="T140" s="2" t="s">
        <v>39</v>
      </c>
      <c r="U140" s="2" t="s">
        <v>40</v>
      </c>
      <c r="V140" s="2" t="s">
        <v>1361</v>
      </c>
      <c r="W140" s="2" t="s">
        <v>55</v>
      </c>
    </row>
    <row r="141" spans="1:23" ht="41.4">
      <c r="A141" s="2" t="s">
        <v>1477</v>
      </c>
      <c r="B141" s="2" t="s">
        <v>24</v>
      </c>
      <c r="C141" s="2">
        <v>4</v>
      </c>
      <c r="D141" s="2" t="s">
        <v>1349</v>
      </c>
      <c r="E141" s="2" t="s">
        <v>1350</v>
      </c>
      <c r="F141" s="2" t="s">
        <v>1478</v>
      </c>
      <c r="G141" s="2" t="s">
        <v>1479</v>
      </c>
      <c r="H141" s="2" t="s">
        <v>1480</v>
      </c>
      <c r="I141" s="2" t="s">
        <v>1481</v>
      </c>
      <c r="J141" s="2" t="s">
        <v>1482</v>
      </c>
      <c r="K141" s="2" t="s">
        <v>32</v>
      </c>
      <c r="L141" s="2" t="s">
        <v>1483</v>
      </c>
      <c r="M141" s="2" t="s">
        <v>1484</v>
      </c>
      <c r="N141" s="2" t="s">
        <v>65</v>
      </c>
      <c r="O141" s="2" t="s">
        <v>1485</v>
      </c>
      <c r="P141" s="2" t="s">
        <v>1486</v>
      </c>
      <c r="Q141" s="2" t="s">
        <v>1487</v>
      </c>
      <c r="R141" s="2" t="s">
        <v>39</v>
      </c>
      <c r="S141" s="2" t="s">
        <v>39</v>
      </c>
      <c r="T141" s="2" t="s">
        <v>39</v>
      </c>
      <c r="U141" s="2" t="s">
        <v>40</v>
      </c>
      <c r="V141" s="2" t="s">
        <v>1361</v>
      </c>
      <c r="W141" s="2" t="s">
        <v>55</v>
      </c>
    </row>
    <row r="142" spans="1:23" ht="41.4">
      <c r="A142" s="2" t="s">
        <v>1488</v>
      </c>
      <c r="B142" s="2" t="s">
        <v>24</v>
      </c>
      <c r="C142" s="2">
        <v>4</v>
      </c>
      <c r="D142" s="2" t="s">
        <v>1349</v>
      </c>
      <c r="E142" s="2" t="s">
        <v>1350</v>
      </c>
      <c r="F142" s="2" t="s">
        <v>1489</v>
      </c>
      <c r="G142" s="2" t="s">
        <v>1490</v>
      </c>
      <c r="H142" s="2" t="s">
        <v>1437</v>
      </c>
      <c r="I142" s="2" t="s">
        <v>1491</v>
      </c>
      <c r="J142" s="2" t="s">
        <v>1492</v>
      </c>
      <c r="K142" s="2" t="s">
        <v>88</v>
      </c>
      <c r="L142" s="2" t="s">
        <v>1493</v>
      </c>
      <c r="M142" s="2" t="s">
        <v>1494</v>
      </c>
      <c r="N142" s="2" t="s">
        <v>65</v>
      </c>
      <c r="O142" s="2" t="s">
        <v>1495</v>
      </c>
      <c r="P142" s="2" t="s">
        <v>1496</v>
      </c>
      <c r="Q142" s="2" t="s">
        <v>1497</v>
      </c>
      <c r="R142" s="2" t="s">
        <v>39</v>
      </c>
      <c r="S142" s="2" t="s">
        <v>39</v>
      </c>
      <c r="T142" s="2" t="s">
        <v>39</v>
      </c>
      <c r="U142" s="2" t="s">
        <v>40</v>
      </c>
      <c r="V142" s="2" t="s">
        <v>1361</v>
      </c>
      <c r="W142" s="2" t="s">
        <v>55</v>
      </c>
    </row>
    <row r="143" spans="1:23" ht="41.4">
      <c r="A143" s="2" t="s">
        <v>1498</v>
      </c>
      <c r="B143" s="2" t="s">
        <v>24</v>
      </c>
      <c r="C143" s="2">
        <v>4</v>
      </c>
      <c r="D143" s="2" t="s">
        <v>1349</v>
      </c>
      <c r="E143" s="2" t="s">
        <v>1350</v>
      </c>
      <c r="F143" s="2" t="s">
        <v>1499</v>
      </c>
      <c r="G143" s="2" t="s">
        <v>1500</v>
      </c>
      <c r="H143" s="2" t="s">
        <v>1501</v>
      </c>
      <c r="I143" s="2" t="s">
        <v>1502</v>
      </c>
      <c r="J143" s="2" t="s">
        <v>1503</v>
      </c>
      <c r="K143" s="2" t="s">
        <v>62</v>
      </c>
      <c r="L143" s="2" t="s">
        <v>1504</v>
      </c>
      <c r="M143" s="2" t="s">
        <v>1505</v>
      </c>
      <c r="N143" s="2" t="s">
        <v>65</v>
      </c>
      <c r="O143" s="2" t="s">
        <v>1453</v>
      </c>
      <c r="P143" s="2" t="s">
        <v>1506</v>
      </c>
      <c r="Q143" s="2" t="s">
        <v>1507</v>
      </c>
      <c r="R143" s="2" t="s">
        <v>39</v>
      </c>
      <c r="S143" s="2" t="s">
        <v>39</v>
      </c>
      <c r="T143" s="2" t="s">
        <v>39</v>
      </c>
      <c r="U143" s="2" t="s">
        <v>40</v>
      </c>
      <c r="V143" s="2" t="s">
        <v>1361</v>
      </c>
      <c r="W143" s="2" t="s">
        <v>55</v>
      </c>
    </row>
    <row r="144" spans="1:23" ht="42">
      <c r="A144" s="2" t="s">
        <v>1508</v>
      </c>
      <c r="B144" s="2" t="s">
        <v>24</v>
      </c>
      <c r="C144" s="2">
        <v>4</v>
      </c>
      <c r="D144" s="2" t="s">
        <v>1349</v>
      </c>
      <c r="E144" s="2" t="s">
        <v>1350</v>
      </c>
      <c r="F144" s="2" t="s">
        <v>1509</v>
      </c>
      <c r="G144" s="2" t="s">
        <v>777</v>
      </c>
      <c r="H144" s="2" t="s">
        <v>778</v>
      </c>
      <c r="I144" s="2" t="s">
        <v>779</v>
      </c>
      <c r="J144" s="2" t="s">
        <v>780</v>
      </c>
      <c r="K144" s="2" t="s">
        <v>88</v>
      </c>
      <c r="L144" s="2" t="s">
        <v>1510</v>
      </c>
      <c r="M144" s="2" t="s">
        <v>1511</v>
      </c>
      <c r="N144" s="2" t="s">
        <v>65</v>
      </c>
      <c r="O144" s="2" t="s">
        <v>821</v>
      </c>
      <c r="P144" s="2" t="s">
        <v>1512</v>
      </c>
      <c r="Q144" s="2" t="s">
        <v>1513</v>
      </c>
      <c r="R144" s="2" t="s">
        <v>39</v>
      </c>
      <c r="S144" s="2" t="s">
        <v>39</v>
      </c>
      <c r="T144" s="2" t="s">
        <v>39</v>
      </c>
      <c r="U144" s="2" t="s">
        <v>40</v>
      </c>
      <c r="V144" s="2" t="s">
        <v>1361</v>
      </c>
      <c r="W144" s="2" t="s">
        <v>55</v>
      </c>
    </row>
    <row r="145" spans="1:23" ht="27.6">
      <c r="A145" s="2" t="s">
        <v>1514</v>
      </c>
      <c r="B145" s="2" t="s">
        <v>24</v>
      </c>
      <c r="C145" s="2">
        <v>4</v>
      </c>
      <c r="D145" s="2" t="s">
        <v>1349</v>
      </c>
      <c r="E145" s="2" t="s">
        <v>1350</v>
      </c>
      <c r="F145" s="2" t="s">
        <v>1515</v>
      </c>
      <c r="G145" s="2" t="s">
        <v>1516</v>
      </c>
      <c r="H145" s="2" t="s">
        <v>1517</v>
      </c>
      <c r="I145" s="2" t="s">
        <v>1428</v>
      </c>
      <c r="J145" s="2" t="s">
        <v>1518</v>
      </c>
      <c r="K145" s="2" t="s">
        <v>62</v>
      </c>
      <c r="L145" s="2" t="s">
        <v>1519</v>
      </c>
      <c r="M145" s="2" t="s">
        <v>1520</v>
      </c>
      <c r="N145" s="2" t="s">
        <v>65</v>
      </c>
      <c r="O145" s="2" t="s">
        <v>1521</v>
      </c>
      <c r="P145" s="2" t="s">
        <v>1522</v>
      </c>
      <c r="Q145" s="2" t="s">
        <v>1523</v>
      </c>
      <c r="R145" s="2" t="s">
        <v>39</v>
      </c>
      <c r="S145" s="2" t="s">
        <v>39</v>
      </c>
      <c r="T145" s="2" t="s">
        <v>39</v>
      </c>
      <c r="U145" s="2" t="s">
        <v>40</v>
      </c>
      <c r="V145" s="2" t="s">
        <v>1361</v>
      </c>
      <c r="W145" s="2" t="s">
        <v>55</v>
      </c>
    </row>
    <row r="146" spans="1:23" ht="41.4">
      <c r="A146" s="2" t="s">
        <v>1524</v>
      </c>
      <c r="B146" s="2" t="s">
        <v>24</v>
      </c>
      <c r="C146" s="2">
        <v>4</v>
      </c>
      <c r="D146" s="2" t="s">
        <v>1349</v>
      </c>
      <c r="E146" s="2" t="s">
        <v>1350</v>
      </c>
      <c r="F146" s="2" t="s">
        <v>1525</v>
      </c>
      <c r="G146" s="2" t="s">
        <v>1526</v>
      </c>
      <c r="H146" s="2" t="s">
        <v>1527</v>
      </c>
      <c r="I146" s="2" t="s">
        <v>1528</v>
      </c>
      <c r="J146" s="2" t="s">
        <v>1529</v>
      </c>
      <c r="K146" s="2" t="s">
        <v>76</v>
      </c>
      <c r="L146" s="2" t="s">
        <v>1530</v>
      </c>
      <c r="M146" s="2" t="s">
        <v>1531</v>
      </c>
      <c r="N146" s="2" t="s">
        <v>191</v>
      </c>
      <c r="O146" s="2" t="s">
        <v>1532</v>
      </c>
      <c r="P146" s="2" t="s">
        <v>1533</v>
      </c>
      <c r="Q146" s="2" t="s">
        <v>1534</v>
      </c>
      <c r="R146" s="2" t="s">
        <v>39</v>
      </c>
      <c r="S146" s="2" t="s">
        <v>39</v>
      </c>
      <c r="T146" s="2" t="s">
        <v>39</v>
      </c>
      <c r="U146" s="2" t="s">
        <v>40</v>
      </c>
      <c r="V146" s="2" t="s">
        <v>1361</v>
      </c>
      <c r="W146" s="2" t="s">
        <v>55</v>
      </c>
    </row>
    <row r="147" spans="1:23" ht="41.4">
      <c r="A147" s="2" t="s">
        <v>1535</v>
      </c>
      <c r="B147" s="2" t="s">
        <v>24</v>
      </c>
      <c r="C147" s="2">
        <v>4</v>
      </c>
      <c r="D147" s="2" t="s">
        <v>1349</v>
      </c>
      <c r="E147" s="2" t="s">
        <v>1350</v>
      </c>
      <c r="F147" s="2" t="s">
        <v>1536</v>
      </c>
      <c r="G147" s="2" t="s">
        <v>1537</v>
      </c>
      <c r="H147" s="2" t="s">
        <v>1538</v>
      </c>
      <c r="I147" s="2" t="s">
        <v>1539</v>
      </c>
      <c r="J147" s="2" t="s">
        <v>1540</v>
      </c>
      <c r="K147" s="2" t="s">
        <v>32</v>
      </c>
      <c r="L147" s="2" t="s">
        <v>1541</v>
      </c>
      <c r="M147" s="2" t="s">
        <v>1542</v>
      </c>
      <c r="N147" s="2" t="s">
        <v>65</v>
      </c>
      <c r="O147" s="2" t="s">
        <v>1543</v>
      </c>
      <c r="P147" s="2" t="s">
        <v>1544</v>
      </c>
      <c r="Q147" s="2" t="s">
        <v>1545</v>
      </c>
      <c r="R147" s="2" t="s">
        <v>39</v>
      </c>
      <c r="S147" s="2" t="s">
        <v>39</v>
      </c>
      <c r="T147" s="2" t="s">
        <v>39</v>
      </c>
      <c r="U147" s="2" t="s">
        <v>40</v>
      </c>
      <c r="V147" s="2" t="s">
        <v>1361</v>
      </c>
      <c r="W147" s="2" t="s">
        <v>55</v>
      </c>
    </row>
    <row r="148" spans="1:23" ht="55.2">
      <c r="A148" s="2" t="s">
        <v>1546</v>
      </c>
      <c r="B148" s="2" t="s">
        <v>24</v>
      </c>
      <c r="C148" s="2">
        <v>4</v>
      </c>
      <c r="D148" s="2" t="s">
        <v>1349</v>
      </c>
      <c r="E148" s="2" t="s">
        <v>1350</v>
      </c>
      <c r="F148" s="2" t="s">
        <v>1547</v>
      </c>
      <c r="G148" s="2" t="s">
        <v>1548</v>
      </c>
      <c r="H148" s="2" t="s">
        <v>1549</v>
      </c>
      <c r="I148" s="2" t="s">
        <v>1550</v>
      </c>
      <c r="J148" s="2" t="s">
        <v>1551</v>
      </c>
      <c r="K148" s="2" t="s">
        <v>32</v>
      </c>
      <c r="L148" s="2" t="s">
        <v>1552</v>
      </c>
      <c r="M148" s="2" t="s">
        <v>1553</v>
      </c>
      <c r="N148" s="2" t="s">
        <v>191</v>
      </c>
      <c r="O148" s="2" t="s">
        <v>1554</v>
      </c>
      <c r="P148" s="2" t="s">
        <v>1555</v>
      </c>
      <c r="Q148" s="2" t="s">
        <v>1556</v>
      </c>
      <c r="R148" s="2" t="s">
        <v>39</v>
      </c>
      <c r="S148" s="2" t="s">
        <v>39</v>
      </c>
      <c r="T148" s="2" t="s">
        <v>39</v>
      </c>
      <c r="U148" s="2" t="s">
        <v>40</v>
      </c>
      <c r="V148" s="2" t="s">
        <v>1361</v>
      </c>
      <c r="W148" s="2" t="s">
        <v>55</v>
      </c>
    </row>
    <row r="149" spans="1:23" ht="41.4">
      <c r="A149" s="2" t="s">
        <v>1557</v>
      </c>
      <c r="B149" s="2" t="s">
        <v>24</v>
      </c>
      <c r="C149" s="2">
        <v>4</v>
      </c>
      <c r="D149" s="2" t="s">
        <v>1349</v>
      </c>
      <c r="E149" s="2" t="s">
        <v>1350</v>
      </c>
      <c r="F149" s="2" t="s">
        <v>1558</v>
      </c>
      <c r="G149" s="2" t="s">
        <v>1559</v>
      </c>
      <c r="H149" s="2" t="s">
        <v>1560</v>
      </c>
      <c r="I149" s="2" t="s">
        <v>1561</v>
      </c>
      <c r="J149" s="2" t="s">
        <v>1562</v>
      </c>
      <c r="K149" s="2" t="s">
        <v>88</v>
      </c>
      <c r="L149" s="2" t="s">
        <v>1563</v>
      </c>
      <c r="M149" s="2" t="s">
        <v>1564</v>
      </c>
      <c r="N149" s="2" t="s">
        <v>191</v>
      </c>
      <c r="O149" s="2" t="s">
        <v>1565</v>
      </c>
      <c r="P149" s="2" t="s">
        <v>1566</v>
      </c>
      <c r="Q149" s="2" t="s">
        <v>1567</v>
      </c>
      <c r="R149" s="2" t="s">
        <v>39</v>
      </c>
      <c r="S149" s="2" t="s">
        <v>39</v>
      </c>
      <c r="T149" s="2" t="s">
        <v>39</v>
      </c>
      <c r="U149" s="2" t="s">
        <v>40</v>
      </c>
      <c r="V149" s="2" t="s">
        <v>1361</v>
      </c>
      <c r="W149" s="2" t="s">
        <v>55</v>
      </c>
    </row>
    <row r="150" spans="1:23" ht="27.6">
      <c r="A150" s="2" t="s">
        <v>1568</v>
      </c>
      <c r="B150" s="2" t="s">
        <v>24</v>
      </c>
      <c r="C150" s="2">
        <v>4</v>
      </c>
      <c r="D150" s="2" t="s">
        <v>1349</v>
      </c>
      <c r="E150" s="2" t="s">
        <v>1569</v>
      </c>
      <c r="F150" s="2" t="s">
        <v>1570</v>
      </c>
      <c r="G150" s="2" t="s">
        <v>1571</v>
      </c>
      <c r="H150" s="2" t="s">
        <v>1572</v>
      </c>
      <c r="I150" s="2" t="s">
        <v>1573</v>
      </c>
      <c r="J150" s="2" t="s">
        <v>902</v>
      </c>
      <c r="K150" s="2" t="s">
        <v>62</v>
      </c>
      <c r="L150" s="2" t="s">
        <v>1574</v>
      </c>
      <c r="M150" s="2"/>
      <c r="N150" s="2" t="s">
        <v>191</v>
      </c>
      <c r="O150" s="2" t="s">
        <v>1575</v>
      </c>
      <c r="P150" s="2" t="s">
        <v>1576</v>
      </c>
      <c r="Q150" s="2" t="s">
        <v>1577</v>
      </c>
      <c r="R150" s="2" t="s">
        <v>39</v>
      </c>
      <c r="S150" s="2" t="s">
        <v>39</v>
      </c>
      <c r="T150" s="2" t="s">
        <v>39</v>
      </c>
      <c r="U150" s="2" t="s">
        <v>40</v>
      </c>
      <c r="V150" s="2" t="s">
        <v>1361</v>
      </c>
      <c r="W150" s="2" t="s">
        <v>55</v>
      </c>
    </row>
    <row r="151" spans="1:23" ht="27.6">
      <c r="A151" s="2" t="s">
        <v>1578</v>
      </c>
      <c r="B151" s="2" t="s">
        <v>24</v>
      </c>
      <c r="C151" s="2">
        <v>4</v>
      </c>
      <c r="D151" s="2" t="s">
        <v>1349</v>
      </c>
      <c r="E151" s="2" t="s">
        <v>1350</v>
      </c>
      <c r="F151" s="2" t="s">
        <v>1579</v>
      </c>
      <c r="G151" s="2" t="s">
        <v>1580</v>
      </c>
      <c r="H151" s="2" t="s">
        <v>1581</v>
      </c>
      <c r="I151" s="2" t="s">
        <v>1582</v>
      </c>
      <c r="J151" s="2" t="s">
        <v>1583</v>
      </c>
      <c r="K151" s="2" t="s">
        <v>32</v>
      </c>
      <c r="L151" s="2" t="s">
        <v>1584</v>
      </c>
      <c r="M151" s="2" t="s">
        <v>1585</v>
      </c>
      <c r="N151" s="2" t="s">
        <v>65</v>
      </c>
      <c r="O151" s="2" t="s">
        <v>1586</v>
      </c>
      <c r="P151" s="2" t="s">
        <v>1587</v>
      </c>
      <c r="Q151" s="2" t="s">
        <v>1588</v>
      </c>
      <c r="R151" s="2" t="s">
        <v>39</v>
      </c>
      <c r="S151" s="2" t="s">
        <v>39</v>
      </c>
      <c r="T151" s="2" t="s">
        <v>39</v>
      </c>
      <c r="U151" s="2" t="s">
        <v>40</v>
      </c>
      <c r="V151" s="2" t="s">
        <v>1361</v>
      </c>
      <c r="W151" s="2" t="s">
        <v>42</v>
      </c>
    </row>
    <row r="152" spans="1:23" ht="27.6">
      <c r="A152" s="2" t="s">
        <v>1589</v>
      </c>
      <c r="B152" s="2" t="s">
        <v>24</v>
      </c>
      <c r="C152" s="2">
        <v>4</v>
      </c>
      <c r="D152" s="2" t="s">
        <v>1349</v>
      </c>
      <c r="E152" s="2" t="s">
        <v>1350</v>
      </c>
      <c r="F152" s="2" t="s">
        <v>1590</v>
      </c>
      <c r="G152" s="2" t="s">
        <v>1591</v>
      </c>
      <c r="H152" s="2" t="s">
        <v>1559</v>
      </c>
      <c r="I152" s="2" t="s">
        <v>1592</v>
      </c>
      <c r="J152" s="2" t="s">
        <v>1593</v>
      </c>
      <c r="K152" s="2" t="s">
        <v>62</v>
      </c>
      <c r="L152" s="2" t="s">
        <v>1594</v>
      </c>
      <c r="M152" s="2" t="s">
        <v>1595</v>
      </c>
      <c r="N152" s="2" t="s">
        <v>65</v>
      </c>
      <c r="O152" s="2" t="s">
        <v>1565</v>
      </c>
      <c r="P152" s="2" t="s">
        <v>1596</v>
      </c>
      <c r="Q152" s="2" t="s">
        <v>1597</v>
      </c>
      <c r="R152" s="2" t="s">
        <v>39</v>
      </c>
      <c r="S152" s="2" t="s">
        <v>39</v>
      </c>
      <c r="T152" s="2" t="s">
        <v>39</v>
      </c>
      <c r="U152" s="2" t="s">
        <v>40</v>
      </c>
      <c r="V152" s="2" t="s">
        <v>1361</v>
      </c>
      <c r="W152" s="2" t="s">
        <v>55</v>
      </c>
    </row>
    <row r="153" spans="1:23" ht="55.2">
      <c r="A153" s="2" t="s">
        <v>1598</v>
      </c>
      <c r="B153" s="2" t="s">
        <v>24</v>
      </c>
      <c r="C153" s="2">
        <v>4</v>
      </c>
      <c r="D153" s="2" t="s">
        <v>1349</v>
      </c>
      <c r="E153" s="2" t="s">
        <v>1569</v>
      </c>
      <c r="F153" s="2" t="s">
        <v>1599</v>
      </c>
      <c r="G153" s="2" t="s">
        <v>1600</v>
      </c>
      <c r="H153" s="2" t="s">
        <v>1601</v>
      </c>
      <c r="I153" s="2" t="s">
        <v>1602</v>
      </c>
      <c r="J153" s="2" t="s">
        <v>1603</v>
      </c>
      <c r="K153" s="2" t="s">
        <v>76</v>
      </c>
      <c r="L153" s="2" t="s">
        <v>1604</v>
      </c>
      <c r="M153" s="2" t="s">
        <v>1605</v>
      </c>
      <c r="N153" s="2" t="s">
        <v>65</v>
      </c>
      <c r="O153" s="2" t="s">
        <v>555</v>
      </c>
      <c r="P153" s="2" t="s">
        <v>1606</v>
      </c>
      <c r="Q153" s="2" t="s">
        <v>1607</v>
      </c>
      <c r="R153" s="2" t="s">
        <v>39</v>
      </c>
      <c r="S153" s="2" t="s">
        <v>39</v>
      </c>
      <c r="T153" s="2" t="s">
        <v>39</v>
      </c>
      <c r="U153" s="2" t="s">
        <v>40</v>
      </c>
      <c r="V153" s="2" t="s">
        <v>1361</v>
      </c>
      <c r="W153" s="2" t="s">
        <v>42</v>
      </c>
    </row>
    <row r="154" spans="1:23" ht="27.6">
      <c r="A154" s="2" t="s">
        <v>1608</v>
      </c>
      <c r="B154" s="2" t="s">
        <v>24</v>
      </c>
      <c r="C154" s="2">
        <v>4</v>
      </c>
      <c r="D154" s="2" t="s">
        <v>1349</v>
      </c>
      <c r="E154" s="2" t="s">
        <v>1569</v>
      </c>
      <c r="F154" s="2" t="s">
        <v>1609</v>
      </c>
      <c r="G154" s="2" t="s">
        <v>1610</v>
      </c>
      <c r="H154" s="2" t="s">
        <v>1611</v>
      </c>
      <c r="I154" s="2" t="s">
        <v>1612</v>
      </c>
      <c r="J154" s="2" t="s">
        <v>1613</v>
      </c>
      <c r="K154" s="2" t="s">
        <v>88</v>
      </c>
      <c r="L154" s="2" t="s">
        <v>1614</v>
      </c>
      <c r="M154" s="2" t="s">
        <v>1615</v>
      </c>
      <c r="N154" s="2" t="s">
        <v>65</v>
      </c>
      <c r="O154" s="2" t="s">
        <v>1616</v>
      </c>
      <c r="P154" s="2" t="s">
        <v>1617</v>
      </c>
      <c r="Q154" s="2" t="s">
        <v>1618</v>
      </c>
      <c r="R154" s="2" t="s">
        <v>39</v>
      </c>
      <c r="S154" s="2" t="s">
        <v>39</v>
      </c>
      <c r="T154" s="2" t="s">
        <v>39</v>
      </c>
      <c r="U154" s="2" t="s">
        <v>40</v>
      </c>
      <c r="V154" s="2" t="s">
        <v>1361</v>
      </c>
      <c r="W154" s="2" t="s">
        <v>55</v>
      </c>
    </row>
    <row r="155" spans="1:23" ht="27.6">
      <c r="A155" s="2" t="s">
        <v>1619</v>
      </c>
      <c r="B155" s="2" t="s">
        <v>24</v>
      </c>
      <c r="C155" s="2">
        <v>4</v>
      </c>
      <c r="D155" s="2" t="s">
        <v>1349</v>
      </c>
      <c r="E155" s="2" t="s">
        <v>1350</v>
      </c>
      <c r="F155" s="2" t="s">
        <v>1620</v>
      </c>
      <c r="G155" s="2" t="s">
        <v>1621</v>
      </c>
      <c r="H155" s="2" t="s">
        <v>1622</v>
      </c>
      <c r="I155" s="2" t="s">
        <v>1623</v>
      </c>
      <c r="J155" s="2" t="s">
        <v>1624</v>
      </c>
      <c r="K155" s="2" t="s">
        <v>88</v>
      </c>
      <c r="L155" s="2" t="s">
        <v>1625</v>
      </c>
      <c r="M155" s="2" t="s">
        <v>1626</v>
      </c>
      <c r="N155" s="2" t="s">
        <v>65</v>
      </c>
      <c r="O155" s="2" t="s">
        <v>1627</v>
      </c>
      <c r="P155" s="2" t="s">
        <v>1628</v>
      </c>
      <c r="Q155" s="2" t="s">
        <v>1629</v>
      </c>
      <c r="R155" s="2" t="s">
        <v>39</v>
      </c>
      <c r="S155" s="2" t="s">
        <v>39</v>
      </c>
      <c r="T155" s="2" t="s">
        <v>39</v>
      </c>
      <c r="U155" s="2" t="s">
        <v>40</v>
      </c>
      <c r="V155" s="2" t="s">
        <v>1361</v>
      </c>
      <c r="W155" s="2" t="s">
        <v>55</v>
      </c>
    </row>
    <row r="156" spans="1:23" ht="41.4">
      <c r="A156" s="2" t="s">
        <v>1630</v>
      </c>
      <c r="B156" s="2" t="s">
        <v>24</v>
      </c>
      <c r="C156" s="2">
        <v>4</v>
      </c>
      <c r="D156" s="2" t="s">
        <v>1349</v>
      </c>
      <c r="E156" s="2" t="s">
        <v>1350</v>
      </c>
      <c r="F156" s="2" t="s">
        <v>1631</v>
      </c>
      <c r="G156" s="2" t="s">
        <v>1632</v>
      </c>
      <c r="H156" s="2" t="s">
        <v>1633</v>
      </c>
      <c r="I156" s="2" t="s">
        <v>1634</v>
      </c>
      <c r="J156" s="2" t="s">
        <v>1635</v>
      </c>
      <c r="K156" s="2" t="s">
        <v>76</v>
      </c>
      <c r="L156" s="2" t="s">
        <v>1636</v>
      </c>
      <c r="M156" s="2" t="s">
        <v>1637</v>
      </c>
      <c r="N156" s="2" t="s">
        <v>65</v>
      </c>
      <c r="O156" s="2" t="s">
        <v>1638</v>
      </c>
      <c r="P156" s="2" t="s">
        <v>1639</v>
      </c>
      <c r="Q156" s="2" t="s">
        <v>1640</v>
      </c>
      <c r="R156" s="2" t="s">
        <v>39</v>
      </c>
      <c r="S156" s="2" t="s">
        <v>39</v>
      </c>
      <c r="T156" s="2" t="s">
        <v>39</v>
      </c>
      <c r="U156" s="2" t="s">
        <v>40</v>
      </c>
      <c r="V156" s="2" t="s">
        <v>1361</v>
      </c>
      <c r="W156" s="2" t="s">
        <v>55</v>
      </c>
    </row>
    <row r="157" spans="1:23" ht="41.4">
      <c r="A157" s="2" t="s">
        <v>1641</v>
      </c>
      <c r="B157" s="2" t="s">
        <v>24</v>
      </c>
      <c r="C157" s="2">
        <v>4</v>
      </c>
      <c r="D157" s="2" t="s">
        <v>1349</v>
      </c>
      <c r="E157" s="2" t="s">
        <v>1569</v>
      </c>
      <c r="F157" s="2" t="s">
        <v>1642</v>
      </c>
      <c r="G157" s="2" t="s">
        <v>1643</v>
      </c>
      <c r="H157" s="2" t="s">
        <v>1644</v>
      </c>
      <c r="I157" s="2" t="s">
        <v>1645</v>
      </c>
      <c r="J157" s="2" t="s">
        <v>1646</v>
      </c>
      <c r="K157" s="2" t="s">
        <v>62</v>
      </c>
      <c r="L157" s="2" t="s">
        <v>1647</v>
      </c>
      <c r="M157" s="2" t="s">
        <v>1648</v>
      </c>
      <c r="N157" s="2" t="s">
        <v>65</v>
      </c>
      <c r="O157" s="2" t="s">
        <v>1649</v>
      </c>
      <c r="P157" s="2" t="s">
        <v>1650</v>
      </c>
      <c r="Q157" s="2" t="s">
        <v>1651</v>
      </c>
      <c r="R157" s="2" t="s">
        <v>39</v>
      </c>
      <c r="S157" s="2" t="s">
        <v>39</v>
      </c>
      <c r="T157" s="2" t="s">
        <v>39</v>
      </c>
      <c r="U157" s="2" t="s">
        <v>40</v>
      </c>
      <c r="V157" s="2" t="s">
        <v>1361</v>
      </c>
      <c r="W157" s="2" t="s">
        <v>55</v>
      </c>
    </row>
    <row r="158" spans="1:23" ht="41.4">
      <c r="A158" s="2" t="s">
        <v>1652</v>
      </c>
      <c r="B158" s="2" t="s">
        <v>24</v>
      </c>
      <c r="C158" s="2">
        <v>4</v>
      </c>
      <c r="D158" s="2" t="s">
        <v>1349</v>
      </c>
      <c r="E158" s="2" t="s">
        <v>1569</v>
      </c>
      <c r="F158" s="2" t="s">
        <v>1653</v>
      </c>
      <c r="G158" s="2" t="s">
        <v>827</v>
      </c>
      <c r="H158" s="2" t="s">
        <v>1654</v>
      </c>
      <c r="I158" s="2" t="s">
        <v>1655</v>
      </c>
      <c r="J158" s="2" t="s">
        <v>1656</v>
      </c>
      <c r="K158" s="2" t="s">
        <v>32</v>
      </c>
      <c r="L158" s="2" t="s">
        <v>1657</v>
      </c>
      <c r="M158" s="2" t="s">
        <v>1658</v>
      </c>
      <c r="N158" s="2" t="s">
        <v>65</v>
      </c>
      <c r="O158" s="2" t="s">
        <v>1659</v>
      </c>
      <c r="P158" s="2" t="s">
        <v>1660</v>
      </c>
      <c r="Q158" s="2" t="s">
        <v>1661</v>
      </c>
      <c r="R158" s="2" t="s">
        <v>39</v>
      </c>
      <c r="S158" s="2" t="s">
        <v>39</v>
      </c>
      <c r="T158" s="2" t="s">
        <v>39</v>
      </c>
      <c r="U158" s="2" t="s">
        <v>40</v>
      </c>
      <c r="V158" s="2" t="s">
        <v>1361</v>
      </c>
      <c r="W158" s="2" t="s">
        <v>42</v>
      </c>
    </row>
    <row r="159" spans="1:23" ht="41.4">
      <c r="A159" s="2" t="s">
        <v>1662</v>
      </c>
      <c r="B159" s="2" t="s">
        <v>24</v>
      </c>
      <c r="C159" s="2">
        <v>4</v>
      </c>
      <c r="D159" s="2" t="s">
        <v>1349</v>
      </c>
      <c r="E159" s="2" t="s">
        <v>1350</v>
      </c>
      <c r="F159" s="2" t="s">
        <v>1663</v>
      </c>
      <c r="G159" s="2" t="s">
        <v>1664</v>
      </c>
      <c r="H159" s="2" t="s">
        <v>1665</v>
      </c>
      <c r="I159" s="2" t="s">
        <v>1666</v>
      </c>
      <c r="J159" s="2" t="s">
        <v>1667</v>
      </c>
      <c r="K159" s="2" t="s">
        <v>88</v>
      </c>
      <c r="L159" s="2" t="s">
        <v>1668</v>
      </c>
      <c r="M159" s="2" t="s">
        <v>1669</v>
      </c>
      <c r="N159" s="2" t="s">
        <v>65</v>
      </c>
      <c r="O159" s="2" t="s">
        <v>1670</v>
      </c>
      <c r="P159" s="2" t="s">
        <v>1671</v>
      </c>
      <c r="Q159" s="2" t="s">
        <v>1672</v>
      </c>
      <c r="R159" s="2" t="s">
        <v>39</v>
      </c>
      <c r="S159" s="2" t="s">
        <v>39</v>
      </c>
      <c r="T159" s="2" t="s">
        <v>39</v>
      </c>
      <c r="U159" s="2" t="s">
        <v>40</v>
      </c>
      <c r="V159" s="2" t="s">
        <v>1361</v>
      </c>
      <c r="W159" s="2" t="s">
        <v>55</v>
      </c>
    </row>
    <row r="160" spans="1:23" ht="41.4">
      <c r="A160" s="2" t="s">
        <v>1673</v>
      </c>
      <c r="B160" s="2" t="s">
        <v>24</v>
      </c>
      <c r="C160" s="2">
        <v>4</v>
      </c>
      <c r="D160" s="2" t="s">
        <v>1349</v>
      </c>
      <c r="E160" s="2" t="s">
        <v>1674</v>
      </c>
      <c r="F160" s="2" t="s">
        <v>1675</v>
      </c>
      <c r="G160" s="2" t="s">
        <v>886</v>
      </c>
      <c r="H160" s="2" t="s">
        <v>1676</v>
      </c>
      <c r="I160" s="2" t="s">
        <v>1677</v>
      </c>
      <c r="J160" s="2" t="s">
        <v>1678</v>
      </c>
      <c r="K160" s="2" t="s">
        <v>88</v>
      </c>
      <c r="L160" s="2" t="s">
        <v>1679</v>
      </c>
      <c r="M160" s="2" t="s">
        <v>1680</v>
      </c>
      <c r="N160" s="2" t="s">
        <v>191</v>
      </c>
      <c r="O160" s="2" t="s">
        <v>1681</v>
      </c>
      <c r="P160" s="2" t="s">
        <v>1682</v>
      </c>
      <c r="Q160" s="2" t="s">
        <v>1683</v>
      </c>
      <c r="R160" s="2" t="s">
        <v>39</v>
      </c>
      <c r="S160" s="2" t="s">
        <v>39</v>
      </c>
      <c r="T160" s="2" t="s">
        <v>39</v>
      </c>
      <c r="U160" s="2" t="s">
        <v>40</v>
      </c>
      <c r="V160" s="2" t="s">
        <v>1361</v>
      </c>
      <c r="W160" s="2" t="s">
        <v>42</v>
      </c>
    </row>
    <row r="161" spans="1:23" ht="55.2">
      <c r="A161" s="2" t="s">
        <v>1684</v>
      </c>
      <c r="B161" s="2" t="s">
        <v>24</v>
      </c>
      <c r="C161" s="2">
        <v>4</v>
      </c>
      <c r="D161" s="2" t="s">
        <v>1349</v>
      </c>
      <c r="E161" s="2" t="s">
        <v>1674</v>
      </c>
      <c r="F161" s="2" t="s">
        <v>1685</v>
      </c>
      <c r="G161" s="2" t="s">
        <v>915</v>
      </c>
      <c r="H161" s="2" t="s">
        <v>1686</v>
      </c>
      <c r="I161" s="2" t="s">
        <v>1687</v>
      </c>
      <c r="J161" s="2" t="s">
        <v>1688</v>
      </c>
      <c r="K161" s="2" t="s">
        <v>32</v>
      </c>
      <c r="L161" s="2" t="s">
        <v>1689</v>
      </c>
      <c r="M161" s="2" t="s">
        <v>1690</v>
      </c>
      <c r="N161" s="2" t="s">
        <v>65</v>
      </c>
      <c r="O161" s="2" t="s">
        <v>1691</v>
      </c>
      <c r="P161" s="2" t="s">
        <v>1692</v>
      </c>
      <c r="Q161" s="2" t="s">
        <v>1693</v>
      </c>
      <c r="R161" s="2" t="s">
        <v>39</v>
      </c>
      <c r="S161" s="2" t="s">
        <v>39</v>
      </c>
      <c r="T161" s="2" t="s">
        <v>39</v>
      </c>
      <c r="U161" s="2" t="s">
        <v>40</v>
      </c>
      <c r="V161" s="2" t="s">
        <v>1361</v>
      </c>
      <c r="W161" s="2" t="s">
        <v>55</v>
      </c>
    </row>
    <row r="162" spans="1:23" ht="41.4">
      <c r="A162" s="2" t="s">
        <v>1694</v>
      </c>
      <c r="B162" s="2" t="s">
        <v>24</v>
      </c>
      <c r="C162" s="2">
        <v>4</v>
      </c>
      <c r="D162" s="2" t="s">
        <v>1349</v>
      </c>
      <c r="E162" s="2" t="s">
        <v>1674</v>
      </c>
      <c r="F162" s="2" t="s">
        <v>1695</v>
      </c>
      <c r="G162" s="2" t="s">
        <v>1632</v>
      </c>
      <c r="H162" s="2" t="s">
        <v>1696</v>
      </c>
      <c r="I162" s="2" t="s">
        <v>1697</v>
      </c>
      <c r="J162" s="2" t="s">
        <v>1698</v>
      </c>
      <c r="K162" s="2" t="s">
        <v>32</v>
      </c>
      <c r="L162" s="2" t="s">
        <v>1699</v>
      </c>
      <c r="M162" s="2" t="s">
        <v>1700</v>
      </c>
      <c r="N162" s="2" t="s">
        <v>65</v>
      </c>
      <c r="O162" s="2" t="s">
        <v>1701</v>
      </c>
      <c r="P162" s="2" t="s">
        <v>1702</v>
      </c>
      <c r="Q162" s="2" t="s">
        <v>1703</v>
      </c>
      <c r="R162" s="2" t="s">
        <v>39</v>
      </c>
      <c r="S162" s="2" t="s">
        <v>39</v>
      </c>
      <c r="T162" s="2" t="s">
        <v>39</v>
      </c>
      <c r="U162" s="2" t="s">
        <v>40</v>
      </c>
      <c r="V162" s="2" t="s">
        <v>1361</v>
      </c>
      <c r="W162" s="2" t="s">
        <v>55</v>
      </c>
    </row>
    <row r="163" spans="1:23" ht="41.4">
      <c r="A163" s="2" t="s">
        <v>1704</v>
      </c>
      <c r="B163" s="2" t="s">
        <v>24</v>
      </c>
      <c r="C163" s="2">
        <v>4</v>
      </c>
      <c r="D163" s="2" t="s">
        <v>1349</v>
      </c>
      <c r="E163" s="2" t="s">
        <v>1674</v>
      </c>
      <c r="F163" s="2" t="s">
        <v>1705</v>
      </c>
      <c r="G163" s="2" t="s">
        <v>1706</v>
      </c>
      <c r="H163" s="2" t="s">
        <v>1707</v>
      </c>
      <c r="I163" s="2" t="s">
        <v>1708</v>
      </c>
      <c r="J163" s="2" t="s">
        <v>1709</v>
      </c>
      <c r="K163" s="2" t="s">
        <v>62</v>
      </c>
      <c r="L163" s="2" t="s">
        <v>1710</v>
      </c>
      <c r="M163" s="2" t="s">
        <v>1711</v>
      </c>
      <c r="N163" s="2" t="s">
        <v>65</v>
      </c>
      <c r="O163" s="2" t="s">
        <v>1712</v>
      </c>
      <c r="P163" s="2" t="s">
        <v>1713</v>
      </c>
      <c r="Q163" s="2" t="s">
        <v>1714</v>
      </c>
      <c r="R163" s="2" t="s">
        <v>39</v>
      </c>
      <c r="S163" s="2" t="s">
        <v>39</v>
      </c>
      <c r="T163" s="2" t="s">
        <v>39</v>
      </c>
      <c r="U163" s="2" t="s">
        <v>40</v>
      </c>
      <c r="V163" s="2" t="s">
        <v>1361</v>
      </c>
      <c r="W163" s="2" t="s">
        <v>55</v>
      </c>
    </row>
    <row r="164" spans="1:23" ht="41.4">
      <c r="A164" s="2" t="s">
        <v>1715</v>
      </c>
      <c r="B164" s="2" t="s">
        <v>24</v>
      </c>
      <c r="C164" s="2">
        <v>4</v>
      </c>
      <c r="D164" s="2" t="s">
        <v>1349</v>
      </c>
      <c r="E164" s="2" t="s">
        <v>1674</v>
      </c>
      <c r="F164" s="2" t="s">
        <v>1716</v>
      </c>
      <c r="G164" s="2" t="s">
        <v>1717</v>
      </c>
      <c r="H164" s="2" t="s">
        <v>1718</v>
      </c>
      <c r="I164" s="2" t="s">
        <v>1719</v>
      </c>
      <c r="J164" s="2" t="s">
        <v>1720</v>
      </c>
      <c r="K164" s="2" t="s">
        <v>32</v>
      </c>
      <c r="L164" s="2" t="s">
        <v>1721</v>
      </c>
      <c r="M164" s="2" t="s">
        <v>1722</v>
      </c>
      <c r="N164" s="2" t="s">
        <v>191</v>
      </c>
      <c r="O164" s="2" t="s">
        <v>1712</v>
      </c>
      <c r="P164" s="2" t="s">
        <v>1723</v>
      </c>
      <c r="Q164" s="2" t="s">
        <v>1724</v>
      </c>
      <c r="R164" s="2" t="s">
        <v>39</v>
      </c>
      <c r="S164" s="2" t="s">
        <v>39</v>
      </c>
      <c r="T164" s="2" t="s">
        <v>39</v>
      </c>
      <c r="U164" s="2" t="s">
        <v>40</v>
      </c>
      <c r="V164" s="2" t="s">
        <v>1361</v>
      </c>
      <c r="W164" s="2" t="s">
        <v>42</v>
      </c>
    </row>
    <row r="165" spans="1:23" ht="41.4">
      <c r="A165" s="2" t="s">
        <v>1725</v>
      </c>
      <c r="B165" s="2" t="s">
        <v>24</v>
      </c>
      <c r="C165" s="2">
        <v>4</v>
      </c>
      <c r="D165" s="2" t="s">
        <v>1349</v>
      </c>
      <c r="E165" s="2" t="s">
        <v>1674</v>
      </c>
      <c r="F165" s="2" t="s">
        <v>1726</v>
      </c>
      <c r="G165" s="2" t="s">
        <v>1727</v>
      </c>
      <c r="H165" s="2" t="s">
        <v>1728</v>
      </c>
      <c r="I165" s="2" t="s">
        <v>1729</v>
      </c>
      <c r="J165" s="2" t="s">
        <v>1730</v>
      </c>
      <c r="K165" s="2" t="s">
        <v>32</v>
      </c>
      <c r="L165" s="2" t="s">
        <v>1731</v>
      </c>
      <c r="M165" s="2" t="s">
        <v>1732</v>
      </c>
      <c r="N165" s="2" t="s">
        <v>65</v>
      </c>
      <c r="O165" s="2" t="s">
        <v>1733</v>
      </c>
      <c r="P165" s="2" t="s">
        <v>1734</v>
      </c>
      <c r="Q165" s="2" t="s">
        <v>1735</v>
      </c>
      <c r="R165" s="2" t="s">
        <v>39</v>
      </c>
      <c r="S165" s="2" t="s">
        <v>39</v>
      </c>
      <c r="T165" s="2" t="s">
        <v>39</v>
      </c>
      <c r="U165" s="2" t="s">
        <v>40</v>
      </c>
      <c r="V165" s="2" t="s">
        <v>1361</v>
      </c>
      <c r="W165" s="2" t="s">
        <v>42</v>
      </c>
    </row>
    <row r="166" spans="1:23" ht="41.4">
      <c r="A166" s="2" t="s">
        <v>1736</v>
      </c>
      <c r="B166" s="2" t="s">
        <v>24</v>
      </c>
      <c r="C166" s="2">
        <v>4</v>
      </c>
      <c r="D166" s="2" t="s">
        <v>1349</v>
      </c>
      <c r="E166" s="2" t="s">
        <v>1674</v>
      </c>
      <c r="F166" s="2" t="s">
        <v>1737</v>
      </c>
      <c r="G166" s="2" t="s">
        <v>1738</v>
      </c>
      <c r="H166" s="2" t="s">
        <v>1739</v>
      </c>
      <c r="I166" s="2" t="s">
        <v>1740</v>
      </c>
      <c r="J166" s="2" t="s">
        <v>1741</v>
      </c>
      <c r="K166" s="2" t="s">
        <v>88</v>
      </c>
      <c r="L166" s="2" t="s">
        <v>1742</v>
      </c>
      <c r="M166" s="2" t="s">
        <v>1743</v>
      </c>
      <c r="N166" s="2" t="s">
        <v>65</v>
      </c>
      <c r="O166" s="2" t="s">
        <v>1712</v>
      </c>
      <c r="P166" s="2" t="s">
        <v>1744</v>
      </c>
      <c r="Q166" s="2" t="s">
        <v>1745</v>
      </c>
      <c r="R166" s="2" t="s">
        <v>39</v>
      </c>
      <c r="S166" s="2" t="s">
        <v>39</v>
      </c>
      <c r="T166" s="2" t="s">
        <v>39</v>
      </c>
      <c r="U166" s="2" t="s">
        <v>40</v>
      </c>
      <c r="V166" s="2" t="s">
        <v>1361</v>
      </c>
      <c r="W166" s="2" t="s">
        <v>55</v>
      </c>
    </row>
    <row r="167" spans="1:23" ht="41.4">
      <c r="A167" s="2" t="s">
        <v>1746</v>
      </c>
      <c r="B167" s="2" t="s">
        <v>24</v>
      </c>
      <c r="C167" s="2">
        <v>4</v>
      </c>
      <c r="D167" s="2" t="s">
        <v>1349</v>
      </c>
      <c r="E167" s="2" t="s">
        <v>1674</v>
      </c>
      <c r="F167" s="2" t="s">
        <v>1747</v>
      </c>
      <c r="G167" s="2" t="s">
        <v>1748</v>
      </c>
      <c r="H167" s="2" t="s">
        <v>1749</v>
      </c>
      <c r="I167" s="2" t="s">
        <v>1750</v>
      </c>
      <c r="J167" s="2" t="s">
        <v>1751</v>
      </c>
      <c r="K167" s="2" t="s">
        <v>88</v>
      </c>
      <c r="L167" s="2" t="s">
        <v>1752</v>
      </c>
      <c r="M167" s="2" t="s">
        <v>1753</v>
      </c>
      <c r="N167" s="2" t="s">
        <v>65</v>
      </c>
      <c r="O167" s="2" t="s">
        <v>1754</v>
      </c>
      <c r="P167" s="2" t="s">
        <v>1755</v>
      </c>
      <c r="Q167" s="2" t="s">
        <v>1703</v>
      </c>
      <c r="R167" s="2" t="s">
        <v>39</v>
      </c>
      <c r="S167" s="2" t="s">
        <v>39</v>
      </c>
      <c r="T167" s="2" t="s">
        <v>39</v>
      </c>
      <c r="U167" s="2" t="s">
        <v>40</v>
      </c>
      <c r="V167" s="2" t="s">
        <v>1361</v>
      </c>
      <c r="W167" s="2" t="s">
        <v>55</v>
      </c>
    </row>
    <row r="168" spans="1:23" ht="69">
      <c r="A168" s="2" t="s">
        <v>1756</v>
      </c>
      <c r="B168" s="2" t="s">
        <v>24</v>
      </c>
      <c r="C168" s="2">
        <v>4</v>
      </c>
      <c r="D168" s="2" t="s">
        <v>1349</v>
      </c>
      <c r="E168" s="2" t="s">
        <v>1674</v>
      </c>
      <c r="F168" s="2" t="s">
        <v>1757</v>
      </c>
      <c r="G168" s="2" t="s">
        <v>1758</v>
      </c>
      <c r="H168" s="2" t="s">
        <v>1759</v>
      </c>
      <c r="I168" s="2" t="s">
        <v>1760</v>
      </c>
      <c r="J168" s="2" t="s">
        <v>1761</v>
      </c>
      <c r="K168" s="2" t="s">
        <v>76</v>
      </c>
      <c r="L168" s="2" t="s">
        <v>1762</v>
      </c>
      <c r="M168" s="2" t="s">
        <v>1763</v>
      </c>
      <c r="N168" s="2" t="s">
        <v>65</v>
      </c>
      <c r="O168" s="2" t="s">
        <v>1764</v>
      </c>
      <c r="P168" s="2" t="s">
        <v>1765</v>
      </c>
      <c r="Q168" s="2" t="s">
        <v>1766</v>
      </c>
      <c r="R168" s="2" t="s">
        <v>39</v>
      </c>
      <c r="S168" s="2" t="s">
        <v>39</v>
      </c>
      <c r="T168" s="2" t="s">
        <v>39</v>
      </c>
      <c r="U168" s="2" t="s">
        <v>40</v>
      </c>
      <c r="V168" s="2" t="s">
        <v>1361</v>
      </c>
      <c r="W168" s="2" t="s">
        <v>55</v>
      </c>
    </row>
    <row r="169" spans="1:23" ht="41.4">
      <c r="A169" s="2" t="s">
        <v>1767</v>
      </c>
      <c r="B169" s="2" t="s">
        <v>24</v>
      </c>
      <c r="C169" s="2">
        <v>4</v>
      </c>
      <c r="D169" s="2" t="s">
        <v>1349</v>
      </c>
      <c r="E169" s="2" t="s">
        <v>1674</v>
      </c>
      <c r="F169" s="2" t="s">
        <v>1768</v>
      </c>
      <c r="G169" s="2" t="s">
        <v>1769</v>
      </c>
      <c r="H169" s="2" t="s">
        <v>1770</v>
      </c>
      <c r="I169" s="2" t="s">
        <v>1771</v>
      </c>
      <c r="J169" s="2" t="s">
        <v>1772</v>
      </c>
      <c r="K169" s="2" t="s">
        <v>88</v>
      </c>
      <c r="L169" s="2" t="s">
        <v>1773</v>
      </c>
      <c r="M169" s="2" t="s">
        <v>1774</v>
      </c>
      <c r="N169" s="2" t="s">
        <v>65</v>
      </c>
      <c r="O169" s="2" t="s">
        <v>1775</v>
      </c>
      <c r="P169" s="2" t="s">
        <v>1776</v>
      </c>
      <c r="Q169" s="2" t="s">
        <v>1777</v>
      </c>
      <c r="R169" s="2" t="s">
        <v>39</v>
      </c>
      <c r="S169" s="2" t="s">
        <v>39</v>
      </c>
      <c r="T169" s="2" t="s">
        <v>39</v>
      </c>
      <c r="U169" s="2" t="s">
        <v>40</v>
      </c>
      <c r="V169" s="2" t="s">
        <v>1361</v>
      </c>
      <c r="W169" s="2" t="s">
        <v>55</v>
      </c>
    </row>
    <row r="170" spans="1:23" ht="55.2">
      <c r="A170" s="2" t="s">
        <v>1778</v>
      </c>
      <c r="B170" s="2" t="s">
        <v>24</v>
      </c>
      <c r="C170" s="2">
        <v>4</v>
      </c>
      <c r="D170" s="2" t="s">
        <v>1349</v>
      </c>
      <c r="E170" s="2" t="s">
        <v>1674</v>
      </c>
      <c r="F170" s="2" t="s">
        <v>1779</v>
      </c>
      <c r="G170" s="2" t="s">
        <v>1780</v>
      </c>
      <c r="H170" s="2" t="s">
        <v>1781</v>
      </c>
      <c r="I170" s="2" t="s">
        <v>1782</v>
      </c>
      <c r="J170" s="2" t="s">
        <v>1783</v>
      </c>
      <c r="K170" s="2" t="s">
        <v>62</v>
      </c>
      <c r="L170" s="2" t="s">
        <v>1784</v>
      </c>
      <c r="M170" s="2" t="s">
        <v>1785</v>
      </c>
      <c r="N170" s="2" t="s">
        <v>65</v>
      </c>
      <c r="O170" s="2" t="s">
        <v>1786</v>
      </c>
      <c r="P170" s="2" t="s">
        <v>1787</v>
      </c>
      <c r="Q170" s="2" t="s">
        <v>1788</v>
      </c>
      <c r="R170" s="2" t="s">
        <v>39</v>
      </c>
      <c r="S170" s="2" t="s">
        <v>39</v>
      </c>
      <c r="T170" s="2" t="s">
        <v>39</v>
      </c>
      <c r="U170" s="2" t="s">
        <v>40</v>
      </c>
      <c r="V170" s="2" t="s">
        <v>1361</v>
      </c>
      <c r="W170" s="2" t="s">
        <v>55</v>
      </c>
    </row>
    <row r="171" spans="1:23" ht="55.2">
      <c r="A171" s="2" t="s">
        <v>1789</v>
      </c>
      <c r="B171" s="2" t="s">
        <v>24</v>
      </c>
      <c r="C171" s="2">
        <v>4</v>
      </c>
      <c r="D171" s="2" t="s">
        <v>1349</v>
      </c>
      <c r="E171" s="2" t="s">
        <v>1674</v>
      </c>
      <c r="F171" s="2" t="s">
        <v>1790</v>
      </c>
      <c r="G171" s="2" t="s">
        <v>1791</v>
      </c>
      <c r="H171" s="2" t="s">
        <v>1739</v>
      </c>
      <c r="I171" s="2" t="s">
        <v>1792</v>
      </c>
      <c r="J171" s="2" t="s">
        <v>1741</v>
      </c>
      <c r="K171" s="2" t="s">
        <v>88</v>
      </c>
      <c r="L171" s="2" t="s">
        <v>1793</v>
      </c>
      <c r="M171" s="2" t="s">
        <v>1722</v>
      </c>
      <c r="N171" s="2" t="s">
        <v>65</v>
      </c>
      <c r="O171" s="2" t="s">
        <v>1794</v>
      </c>
      <c r="P171" s="2" t="s">
        <v>1723</v>
      </c>
      <c r="Q171" s="2" t="s">
        <v>1724</v>
      </c>
      <c r="R171" s="2" t="s">
        <v>39</v>
      </c>
      <c r="S171" s="2" t="s">
        <v>39</v>
      </c>
      <c r="T171" s="2" t="s">
        <v>39</v>
      </c>
      <c r="U171" s="2" t="s">
        <v>40</v>
      </c>
      <c r="V171" s="2" t="s">
        <v>1361</v>
      </c>
      <c r="W171" s="2" t="s">
        <v>55</v>
      </c>
    </row>
    <row r="172" spans="1:23" ht="41.4">
      <c r="A172" s="2" t="s">
        <v>1795</v>
      </c>
      <c r="B172" s="2" t="s">
        <v>24</v>
      </c>
      <c r="C172" s="2">
        <v>4</v>
      </c>
      <c r="D172" s="2" t="s">
        <v>1349</v>
      </c>
      <c r="E172" s="2" t="s">
        <v>1350</v>
      </c>
      <c r="F172" s="2" t="s">
        <v>1796</v>
      </c>
      <c r="G172" s="2" t="s">
        <v>1797</v>
      </c>
      <c r="H172" s="2" t="s">
        <v>1798</v>
      </c>
      <c r="I172" s="2" t="s">
        <v>915</v>
      </c>
      <c r="J172" s="2" t="s">
        <v>1799</v>
      </c>
      <c r="K172" s="2" t="s">
        <v>32</v>
      </c>
      <c r="L172" s="2" t="s">
        <v>1800</v>
      </c>
      <c r="M172" s="2" t="s">
        <v>1801</v>
      </c>
      <c r="N172" s="2" t="s">
        <v>191</v>
      </c>
      <c r="O172" s="2" t="s">
        <v>1802</v>
      </c>
      <c r="P172" s="2" t="s">
        <v>1803</v>
      </c>
      <c r="Q172" s="2" t="s">
        <v>1804</v>
      </c>
      <c r="R172" s="2" t="s">
        <v>39</v>
      </c>
      <c r="S172" s="2" t="s">
        <v>39</v>
      </c>
      <c r="T172" s="2" t="s">
        <v>39</v>
      </c>
      <c r="U172" s="2" t="s">
        <v>40</v>
      </c>
      <c r="V172" s="2" t="s">
        <v>1361</v>
      </c>
      <c r="W172" s="2" t="s">
        <v>42</v>
      </c>
    </row>
    <row r="173" spans="1:23" ht="41.4">
      <c r="A173" s="2" t="s">
        <v>1805</v>
      </c>
      <c r="B173" s="2" t="s">
        <v>24</v>
      </c>
      <c r="C173" s="2">
        <v>4</v>
      </c>
      <c r="D173" s="2" t="s">
        <v>1349</v>
      </c>
      <c r="E173" s="2" t="s">
        <v>1674</v>
      </c>
      <c r="F173" s="2" t="s">
        <v>1806</v>
      </c>
      <c r="G173" s="2" t="s">
        <v>1807</v>
      </c>
      <c r="H173" s="2" t="s">
        <v>1808</v>
      </c>
      <c r="I173" s="2" t="s">
        <v>280</v>
      </c>
      <c r="J173" s="2" t="s">
        <v>1809</v>
      </c>
      <c r="K173" s="2" t="s">
        <v>32</v>
      </c>
      <c r="L173" s="2" t="s">
        <v>1810</v>
      </c>
      <c r="M173" s="2" t="s">
        <v>1811</v>
      </c>
      <c r="N173" s="2" t="s">
        <v>35</v>
      </c>
      <c r="O173" s="2" t="s">
        <v>1812</v>
      </c>
      <c r="P173" s="2" t="s">
        <v>1813</v>
      </c>
      <c r="Q173" s="2" t="s">
        <v>1814</v>
      </c>
      <c r="R173" s="2" t="s">
        <v>39</v>
      </c>
      <c r="S173" s="2" t="s">
        <v>39</v>
      </c>
      <c r="T173" s="2" t="s">
        <v>39</v>
      </c>
      <c r="U173" s="2" t="s">
        <v>40</v>
      </c>
      <c r="V173" s="2" t="s">
        <v>1361</v>
      </c>
      <c r="W173" s="2" t="s">
        <v>55</v>
      </c>
    </row>
    <row r="174" spans="1:23" ht="55.2">
      <c r="A174" s="2" t="s">
        <v>1815</v>
      </c>
      <c r="B174" s="2" t="s">
        <v>24</v>
      </c>
      <c r="C174" s="2">
        <v>5</v>
      </c>
      <c r="D174" s="2" t="s">
        <v>1816</v>
      </c>
      <c r="E174" s="2" t="s">
        <v>1817</v>
      </c>
      <c r="F174" s="2" t="s">
        <v>1818</v>
      </c>
      <c r="G174" s="2" t="s">
        <v>1819</v>
      </c>
      <c r="H174" s="2" t="s">
        <v>1820</v>
      </c>
      <c r="I174" s="2" t="s">
        <v>1821</v>
      </c>
      <c r="J174" s="2" t="s">
        <v>1822</v>
      </c>
      <c r="K174" s="2" t="s">
        <v>62</v>
      </c>
      <c r="L174" s="2" t="s">
        <v>1823</v>
      </c>
      <c r="M174" s="2" t="s">
        <v>1824</v>
      </c>
      <c r="N174" s="2" t="s">
        <v>65</v>
      </c>
      <c r="O174" s="2" t="s">
        <v>1825</v>
      </c>
      <c r="P174" s="2" t="s">
        <v>1826</v>
      </c>
      <c r="Q174" s="2" t="s">
        <v>1827</v>
      </c>
      <c r="R174" s="2" t="s">
        <v>39</v>
      </c>
      <c r="S174" s="2" t="s">
        <v>39</v>
      </c>
      <c r="T174" s="2" t="s">
        <v>39</v>
      </c>
      <c r="U174" s="2" t="s">
        <v>40</v>
      </c>
      <c r="V174" s="2" t="s">
        <v>1828</v>
      </c>
      <c r="W174" s="2" t="s">
        <v>55</v>
      </c>
    </row>
    <row r="175" spans="1:23" ht="41.4">
      <c r="A175" s="2" t="s">
        <v>1829</v>
      </c>
      <c r="B175" s="2" t="s">
        <v>24</v>
      </c>
      <c r="C175" s="2">
        <v>5</v>
      </c>
      <c r="D175" s="2" t="s">
        <v>1816</v>
      </c>
      <c r="E175" s="2" t="s">
        <v>1830</v>
      </c>
      <c r="F175" s="2" t="s">
        <v>1831</v>
      </c>
      <c r="G175" s="2" t="s">
        <v>1832</v>
      </c>
      <c r="H175" s="2" t="s">
        <v>1833</v>
      </c>
      <c r="I175" s="2" t="s">
        <v>1834</v>
      </c>
      <c r="J175" s="2" t="s">
        <v>1835</v>
      </c>
      <c r="K175" s="2" t="s">
        <v>76</v>
      </c>
      <c r="L175" s="2" t="s">
        <v>1836</v>
      </c>
      <c r="M175" s="2" t="s">
        <v>1837</v>
      </c>
      <c r="N175" s="2" t="s">
        <v>65</v>
      </c>
      <c r="O175" s="2" t="s">
        <v>1838</v>
      </c>
      <c r="P175" s="2" t="s">
        <v>1839</v>
      </c>
      <c r="Q175" s="2" t="s">
        <v>1840</v>
      </c>
      <c r="R175" s="2" t="s">
        <v>39</v>
      </c>
      <c r="S175" s="2" t="s">
        <v>39</v>
      </c>
      <c r="T175" s="2" t="s">
        <v>39</v>
      </c>
      <c r="U175" s="2" t="s">
        <v>40</v>
      </c>
      <c r="V175" s="2" t="s">
        <v>1828</v>
      </c>
      <c r="W175" s="2" t="s">
        <v>55</v>
      </c>
    </row>
    <row r="176" spans="1:23" ht="55.2">
      <c r="A176" s="2" t="s">
        <v>1841</v>
      </c>
      <c r="B176" s="2" t="s">
        <v>24</v>
      </c>
      <c r="C176" s="2">
        <v>5</v>
      </c>
      <c r="D176" s="2" t="s">
        <v>1816</v>
      </c>
      <c r="E176" s="2" t="s">
        <v>1817</v>
      </c>
      <c r="F176" s="2" t="s">
        <v>1842</v>
      </c>
      <c r="G176" s="2" t="s">
        <v>1843</v>
      </c>
      <c r="H176" s="2" t="s">
        <v>1844</v>
      </c>
      <c r="I176" s="2" t="s">
        <v>1845</v>
      </c>
      <c r="J176" s="2" t="s">
        <v>1846</v>
      </c>
      <c r="K176" s="2" t="s">
        <v>76</v>
      </c>
      <c r="L176" s="2" t="s">
        <v>1847</v>
      </c>
      <c r="M176" s="2" t="s">
        <v>1848</v>
      </c>
      <c r="N176" s="2" t="s">
        <v>65</v>
      </c>
      <c r="O176" s="2" t="s">
        <v>1849</v>
      </c>
      <c r="P176" s="2" t="s">
        <v>1850</v>
      </c>
      <c r="Q176" s="2" t="s">
        <v>1851</v>
      </c>
      <c r="R176" s="2" t="s">
        <v>39</v>
      </c>
      <c r="S176" s="2" t="s">
        <v>39</v>
      </c>
      <c r="T176" s="2" t="s">
        <v>39</v>
      </c>
      <c r="U176" s="2" t="s">
        <v>40</v>
      </c>
      <c r="V176" s="2" t="s">
        <v>1828</v>
      </c>
      <c r="W176" s="2" t="s">
        <v>55</v>
      </c>
    </row>
    <row r="177" spans="1:23" ht="55.2">
      <c r="A177" s="2" t="s">
        <v>1852</v>
      </c>
      <c r="B177" s="2" t="s">
        <v>24</v>
      </c>
      <c r="C177" s="2">
        <v>5</v>
      </c>
      <c r="D177" s="2" t="s">
        <v>1816</v>
      </c>
      <c r="E177" s="2" t="s">
        <v>1817</v>
      </c>
      <c r="F177" s="2" t="s">
        <v>1853</v>
      </c>
      <c r="G177" s="2" t="s">
        <v>1854</v>
      </c>
      <c r="H177" s="2" t="s">
        <v>1855</v>
      </c>
      <c r="I177" s="2" t="s">
        <v>1856</v>
      </c>
      <c r="J177" s="2" t="s">
        <v>1857</v>
      </c>
      <c r="K177" s="2" t="s">
        <v>32</v>
      </c>
      <c r="L177" s="2" t="s">
        <v>1858</v>
      </c>
      <c r="M177" s="2" t="s">
        <v>1859</v>
      </c>
      <c r="N177" s="2" t="s">
        <v>191</v>
      </c>
      <c r="O177" s="2" t="s">
        <v>1860</v>
      </c>
      <c r="P177" s="2" t="s">
        <v>1861</v>
      </c>
      <c r="Q177" s="2" t="s">
        <v>1862</v>
      </c>
      <c r="R177" s="2" t="s">
        <v>39</v>
      </c>
      <c r="S177" s="2" t="s">
        <v>39</v>
      </c>
      <c r="T177" s="2" t="s">
        <v>39</v>
      </c>
      <c r="U177" s="2" t="s">
        <v>40</v>
      </c>
      <c r="V177" s="2" t="s">
        <v>1828</v>
      </c>
      <c r="W177" s="2" t="s">
        <v>42</v>
      </c>
    </row>
    <row r="178" spans="1:23" ht="41.4">
      <c r="A178" s="2" t="s">
        <v>1863</v>
      </c>
      <c r="B178" s="2" t="s">
        <v>24</v>
      </c>
      <c r="C178" s="2">
        <v>5</v>
      </c>
      <c r="D178" s="2" t="s">
        <v>1816</v>
      </c>
      <c r="E178" s="2" t="s">
        <v>1817</v>
      </c>
      <c r="F178" s="2" t="s">
        <v>1864</v>
      </c>
      <c r="G178" s="2" t="s">
        <v>1865</v>
      </c>
      <c r="H178" s="2" t="s">
        <v>1866</v>
      </c>
      <c r="I178" s="2" t="s">
        <v>1867</v>
      </c>
      <c r="J178" s="2" t="s">
        <v>1868</v>
      </c>
      <c r="K178" s="2" t="s">
        <v>76</v>
      </c>
      <c r="L178" s="2" t="s">
        <v>1869</v>
      </c>
      <c r="M178" s="2" t="s">
        <v>1870</v>
      </c>
      <c r="N178" s="2" t="s">
        <v>191</v>
      </c>
      <c r="O178" s="2" t="s">
        <v>1871</v>
      </c>
      <c r="P178" s="2" t="s">
        <v>1872</v>
      </c>
      <c r="Q178" s="2" t="s">
        <v>1873</v>
      </c>
      <c r="R178" s="2" t="s">
        <v>39</v>
      </c>
      <c r="S178" s="2" t="s">
        <v>39</v>
      </c>
      <c r="T178" s="2" t="s">
        <v>39</v>
      </c>
      <c r="U178" s="2" t="s">
        <v>40</v>
      </c>
      <c r="V178" s="2" t="s">
        <v>1828</v>
      </c>
      <c r="W178" s="2" t="s">
        <v>55</v>
      </c>
    </row>
    <row r="179" spans="1:23" ht="41.4">
      <c r="A179" s="2" t="s">
        <v>1874</v>
      </c>
      <c r="B179" s="2" t="s">
        <v>24</v>
      </c>
      <c r="C179" s="2">
        <v>5</v>
      </c>
      <c r="D179" s="2" t="s">
        <v>1816</v>
      </c>
      <c r="E179" s="2" t="s">
        <v>1817</v>
      </c>
      <c r="F179" s="2" t="s">
        <v>1875</v>
      </c>
      <c r="G179" s="2" t="s">
        <v>1876</v>
      </c>
      <c r="H179" s="2" t="s">
        <v>1877</v>
      </c>
      <c r="I179" s="2" t="s">
        <v>1878</v>
      </c>
      <c r="J179" s="2" t="s">
        <v>1879</v>
      </c>
      <c r="K179" s="2" t="s">
        <v>62</v>
      </c>
      <c r="L179" s="2" t="s">
        <v>1880</v>
      </c>
      <c r="M179" s="2" t="s">
        <v>1881</v>
      </c>
      <c r="N179" s="2" t="s">
        <v>191</v>
      </c>
      <c r="O179" s="2" t="s">
        <v>1882</v>
      </c>
      <c r="P179" s="2" t="s">
        <v>1883</v>
      </c>
      <c r="Q179" s="2" t="s">
        <v>1884</v>
      </c>
      <c r="R179" s="2" t="s">
        <v>39</v>
      </c>
      <c r="S179" s="2" t="s">
        <v>39</v>
      </c>
      <c r="T179" s="2" t="s">
        <v>39</v>
      </c>
      <c r="U179" s="2" t="s">
        <v>40</v>
      </c>
      <c r="V179" s="2" t="s">
        <v>1828</v>
      </c>
      <c r="W179" s="2" t="s">
        <v>55</v>
      </c>
    </row>
    <row r="180" spans="1:23" ht="41.4">
      <c r="A180" s="2" t="s">
        <v>1885</v>
      </c>
      <c r="B180" s="2" t="s">
        <v>24</v>
      </c>
      <c r="C180" s="2">
        <v>5</v>
      </c>
      <c r="D180" s="2" t="s">
        <v>1816</v>
      </c>
      <c r="E180" s="2" t="s">
        <v>1886</v>
      </c>
      <c r="F180" s="2" t="s">
        <v>1887</v>
      </c>
      <c r="G180" s="2" t="s">
        <v>1888</v>
      </c>
      <c r="H180" s="2" t="s">
        <v>1889</v>
      </c>
      <c r="I180" s="2" t="s">
        <v>1890</v>
      </c>
      <c r="J180" s="2" t="s">
        <v>1891</v>
      </c>
      <c r="K180" s="2" t="s">
        <v>76</v>
      </c>
      <c r="L180" s="2" t="s">
        <v>1892</v>
      </c>
      <c r="M180" s="2" t="s">
        <v>1893</v>
      </c>
      <c r="N180" s="2" t="s">
        <v>191</v>
      </c>
      <c r="O180" s="2" t="s">
        <v>1894</v>
      </c>
      <c r="P180" s="2" t="s">
        <v>1895</v>
      </c>
      <c r="Q180" s="2" t="s">
        <v>1896</v>
      </c>
      <c r="R180" s="2" t="s">
        <v>39</v>
      </c>
      <c r="S180" s="2" t="s">
        <v>39</v>
      </c>
      <c r="T180" s="2" t="s">
        <v>39</v>
      </c>
      <c r="U180" s="2" t="s">
        <v>40</v>
      </c>
      <c r="V180" s="2" t="s">
        <v>1828</v>
      </c>
      <c r="W180" s="2" t="s">
        <v>42</v>
      </c>
    </row>
    <row r="181" spans="1:23" ht="55.2">
      <c r="A181" s="2" t="s">
        <v>1897</v>
      </c>
      <c r="B181" s="2" t="s">
        <v>24</v>
      </c>
      <c r="C181" s="2">
        <v>5</v>
      </c>
      <c r="D181" s="2" t="s">
        <v>1816</v>
      </c>
      <c r="E181" s="2" t="s">
        <v>1817</v>
      </c>
      <c r="F181" s="2" t="s">
        <v>1898</v>
      </c>
      <c r="G181" s="2" t="s">
        <v>1899</v>
      </c>
      <c r="H181" s="2" t="s">
        <v>1900</v>
      </c>
      <c r="I181" s="2" t="s">
        <v>1901</v>
      </c>
      <c r="J181" s="2" t="s">
        <v>1902</v>
      </c>
      <c r="K181" s="2" t="s">
        <v>62</v>
      </c>
      <c r="L181" s="2" t="s">
        <v>1903</v>
      </c>
      <c r="M181" s="2" t="s">
        <v>1904</v>
      </c>
      <c r="N181" s="2" t="s">
        <v>191</v>
      </c>
      <c r="O181" s="2" t="s">
        <v>1222</v>
      </c>
      <c r="P181" s="2" t="s">
        <v>1905</v>
      </c>
      <c r="Q181" s="2" t="s">
        <v>1906</v>
      </c>
      <c r="R181" s="2" t="s">
        <v>39</v>
      </c>
      <c r="S181" s="2" t="s">
        <v>39</v>
      </c>
      <c r="T181" s="2" t="s">
        <v>39</v>
      </c>
      <c r="U181" s="2" t="s">
        <v>40</v>
      </c>
      <c r="V181" s="2" t="s">
        <v>1828</v>
      </c>
      <c r="W181" s="2" t="s">
        <v>55</v>
      </c>
    </row>
    <row r="182" spans="1:23" ht="69">
      <c r="A182" s="2" t="s">
        <v>1907</v>
      </c>
      <c r="B182" s="2" t="s">
        <v>24</v>
      </c>
      <c r="C182" s="2">
        <v>5</v>
      </c>
      <c r="D182" s="2" t="s">
        <v>1816</v>
      </c>
      <c r="E182" s="2" t="s">
        <v>1817</v>
      </c>
      <c r="F182" s="2" t="s">
        <v>1908</v>
      </c>
      <c r="G182" s="2" t="s">
        <v>1909</v>
      </c>
      <c r="H182" s="2" t="s">
        <v>1910</v>
      </c>
      <c r="I182" s="2" t="s">
        <v>758</v>
      </c>
      <c r="J182" s="2" t="s">
        <v>1911</v>
      </c>
      <c r="K182" s="2" t="s">
        <v>76</v>
      </c>
      <c r="L182" s="2" t="s">
        <v>1912</v>
      </c>
      <c r="M182" s="2" t="s">
        <v>1913</v>
      </c>
      <c r="N182" s="2" t="s">
        <v>191</v>
      </c>
      <c r="O182" s="2" t="s">
        <v>1914</v>
      </c>
      <c r="P182" s="2" t="s">
        <v>1915</v>
      </c>
      <c r="Q182" s="2" t="s">
        <v>1916</v>
      </c>
      <c r="R182" s="2" t="s">
        <v>39</v>
      </c>
      <c r="S182" s="2" t="s">
        <v>39</v>
      </c>
      <c r="T182" s="2" t="s">
        <v>39</v>
      </c>
      <c r="U182" s="2" t="s">
        <v>40</v>
      </c>
      <c r="V182" s="2" t="s">
        <v>1828</v>
      </c>
      <c r="W182" s="2" t="s">
        <v>55</v>
      </c>
    </row>
    <row r="183" spans="1:23" ht="55.2">
      <c r="A183" s="2" t="s">
        <v>1917</v>
      </c>
      <c r="B183" s="2" t="s">
        <v>24</v>
      </c>
      <c r="C183" s="2">
        <v>5</v>
      </c>
      <c r="D183" s="2" t="s">
        <v>1816</v>
      </c>
      <c r="E183" s="2" t="s">
        <v>1918</v>
      </c>
      <c r="F183" s="2" t="s">
        <v>1919</v>
      </c>
      <c r="G183" s="2" t="s">
        <v>1920</v>
      </c>
      <c r="H183" s="2" t="s">
        <v>1921</v>
      </c>
      <c r="I183" s="2" t="s">
        <v>1922</v>
      </c>
      <c r="J183" s="2" t="s">
        <v>1923</v>
      </c>
      <c r="K183" s="2" t="s">
        <v>76</v>
      </c>
      <c r="L183" s="2" t="s">
        <v>1924</v>
      </c>
      <c r="M183" s="2" t="s">
        <v>1925</v>
      </c>
      <c r="N183" s="2" t="s">
        <v>191</v>
      </c>
      <c r="O183" s="2" t="s">
        <v>1926</v>
      </c>
      <c r="P183" s="2" t="s">
        <v>1927</v>
      </c>
      <c r="Q183" s="2" t="s">
        <v>1928</v>
      </c>
      <c r="R183" s="2" t="s">
        <v>39</v>
      </c>
      <c r="S183" s="2" t="s">
        <v>39</v>
      </c>
      <c r="T183" s="2" t="s">
        <v>39</v>
      </c>
      <c r="U183" s="2" t="s">
        <v>40</v>
      </c>
      <c r="V183" s="2" t="s">
        <v>1828</v>
      </c>
      <c r="W183" s="2" t="s">
        <v>42</v>
      </c>
    </row>
    <row r="184" spans="1:23" ht="41.4">
      <c r="A184" s="2" t="s">
        <v>1929</v>
      </c>
      <c r="B184" s="2" t="s">
        <v>24</v>
      </c>
      <c r="C184" s="2">
        <v>5</v>
      </c>
      <c r="D184" s="2" t="s">
        <v>1816</v>
      </c>
      <c r="E184" s="2" t="s">
        <v>1918</v>
      </c>
      <c r="F184" s="2" t="s">
        <v>1930</v>
      </c>
      <c r="G184" s="2" t="s">
        <v>1931</v>
      </c>
      <c r="H184" s="2" t="s">
        <v>1932</v>
      </c>
      <c r="I184" s="2" t="s">
        <v>1933</v>
      </c>
      <c r="J184" s="2" t="s">
        <v>1934</v>
      </c>
      <c r="K184" s="2" t="s">
        <v>62</v>
      </c>
      <c r="L184" s="2" t="s">
        <v>1935</v>
      </c>
      <c r="M184" s="2" t="s">
        <v>1936</v>
      </c>
      <c r="N184" s="2" t="s">
        <v>65</v>
      </c>
      <c r="O184" s="2" t="s">
        <v>1937</v>
      </c>
      <c r="P184" s="2" t="s">
        <v>1938</v>
      </c>
      <c r="Q184" s="2" t="s">
        <v>1939</v>
      </c>
      <c r="R184" s="2" t="s">
        <v>39</v>
      </c>
      <c r="S184" s="2" t="s">
        <v>39</v>
      </c>
      <c r="T184" s="2" t="s">
        <v>39</v>
      </c>
      <c r="U184" s="2" t="s">
        <v>40</v>
      </c>
      <c r="V184" s="2" t="s">
        <v>1828</v>
      </c>
      <c r="W184" s="2" t="s">
        <v>55</v>
      </c>
    </row>
    <row r="185" spans="1:23" ht="55.2">
      <c r="A185" s="2" t="s">
        <v>1940</v>
      </c>
      <c r="B185" s="2" t="s">
        <v>24</v>
      </c>
      <c r="C185" s="2">
        <v>5</v>
      </c>
      <c r="D185" s="2" t="s">
        <v>1816</v>
      </c>
      <c r="E185" s="2" t="s">
        <v>1918</v>
      </c>
      <c r="F185" s="2" t="s">
        <v>1941</v>
      </c>
      <c r="G185" s="2" t="s">
        <v>1942</v>
      </c>
      <c r="H185" s="2" t="s">
        <v>1943</v>
      </c>
      <c r="I185" s="2" t="s">
        <v>1944</v>
      </c>
      <c r="J185" s="2" t="s">
        <v>1945</v>
      </c>
      <c r="K185" s="2" t="s">
        <v>62</v>
      </c>
      <c r="L185" s="2" t="s">
        <v>1946</v>
      </c>
      <c r="M185" s="2" t="s">
        <v>1947</v>
      </c>
      <c r="N185" s="2" t="s">
        <v>191</v>
      </c>
      <c r="O185" s="2" t="s">
        <v>1948</v>
      </c>
      <c r="P185" s="2" t="s">
        <v>1949</v>
      </c>
      <c r="Q185" s="2" t="s">
        <v>1950</v>
      </c>
      <c r="R185" s="2" t="s">
        <v>39</v>
      </c>
      <c r="S185" s="2" t="s">
        <v>39</v>
      </c>
      <c r="T185" s="2" t="s">
        <v>39</v>
      </c>
      <c r="U185" s="2" t="s">
        <v>40</v>
      </c>
      <c r="V185" s="2" t="s">
        <v>1828</v>
      </c>
      <c r="W185" s="2" t="s">
        <v>55</v>
      </c>
    </row>
    <row r="186" spans="1:23" ht="55.2">
      <c r="A186" s="2" t="s">
        <v>1951</v>
      </c>
      <c r="B186" s="2" t="s">
        <v>24</v>
      </c>
      <c r="C186" s="2">
        <v>5</v>
      </c>
      <c r="D186" s="2" t="s">
        <v>1816</v>
      </c>
      <c r="E186" s="2" t="s">
        <v>1918</v>
      </c>
      <c r="F186" s="2" t="s">
        <v>1952</v>
      </c>
      <c r="G186" s="2" t="s">
        <v>1953</v>
      </c>
      <c r="H186" s="2" t="s">
        <v>1954</v>
      </c>
      <c r="I186" s="2" t="s">
        <v>1955</v>
      </c>
      <c r="J186" s="2" t="s">
        <v>1956</v>
      </c>
      <c r="K186" s="2" t="s">
        <v>76</v>
      </c>
      <c r="L186" s="2" t="s">
        <v>1957</v>
      </c>
      <c r="M186" s="2" t="s">
        <v>1958</v>
      </c>
      <c r="N186" s="2" t="s">
        <v>65</v>
      </c>
      <c r="O186" s="2" t="s">
        <v>1959</v>
      </c>
      <c r="P186" s="2" t="s">
        <v>1960</v>
      </c>
      <c r="Q186" s="2" t="s">
        <v>1961</v>
      </c>
      <c r="R186" s="2" t="s">
        <v>39</v>
      </c>
      <c r="S186" s="2" t="s">
        <v>39</v>
      </c>
      <c r="T186" s="2" t="s">
        <v>39</v>
      </c>
      <c r="U186" s="2" t="s">
        <v>40</v>
      </c>
      <c r="V186" s="2" t="s">
        <v>1828</v>
      </c>
      <c r="W186" s="2" t="s">
        <v>42</v>
      </c>
    </row>
    <row r="187" spans="1:23" ht="41.4">
      <c r="A187" s="2" t="s">
        <v>1962</v>
      </c>
      <c r="B187" s="2" t="s">
        <v>24</v>
      </c>
      <c r="C187" s="2">
        <v>5</v>
      </c>
      <c r="D187" s="2" t="s">
        <v>1816</v>
      </c>
      <c r="E187" s="2" t="s">
        <v>1886</v>
      </c>
      <c r="F187" s="2" t="s">
        <v>1963</v>
      </c>
      <c r="G187" s="2" t="s">
        <v>1845</v>
      </c>
      <c r="H187" s="2" t="s">
        <v>1843</v>
      </c>
      <c r="I187" s="2" t="s">
        <v>1964</v>
      </c>
      <c r="J187" s="2" t="s">
        <v>1846</v>
      </c>
      <c r="K187" s="2" t="s">
        <v>32</v>
      </c>
      <c r="L187" s="2" t="s">
        <v>1965</v>
      </c>
      <c r="M187" s="2" t="s">
        <v>1966</v>
      </c>
      <c r="N187" s="2" t="s">
        <v>191</v>
      </c>
      <c r="O187" s="2" t="s">
        <v>1967</v>
      </c>
      <c r="P187" s="2" t="s">
        <v>1968</v>
      </c>
      <c r="Q187" s="2" t="s">
        <v>1969</v>
      </c>
      <c r="R187" s="2" t="s">
        <v>39</v>
      </c>
      <c r="S187" s="2" t="s">
        <v>39</v>
      </c>
      <c r="T187" s="2" t="s">
        <v>39</v>
      </c>
      <c r="U187" s="2" t="s">
        <v>40</v>
      </c>
      <c r="V187" s="2" t="s">
        <v>1828</v>
      </c>
      <c r="W187" s="2" t="s">
        <v>55</v>
      </c>
    </row>
    <row r="188" spans="1:23" ht="41.4">
      <c r="A188" s="2" t="s">
        <v>1970</v>
      </c>
      <c r="B188" s="2" t="s">
        <v>24</v>
      </c>
      <c r="C188" s="2">
        <v>5</v>
      </c>
      <c r="D188" s="2" t="s">
        <v>1816</v>
      </c>
      <c r="E188" s="2" t="s">
        <v>1886</v>
      </c>
      <c r="F188" s="2" t="s">
        <v>1971</v>
      </c>
      <c r="G188" s="2" t="s">
        <v>1972</v>
      </c>
      <c r="H188" s="2" t="s">
        <v>1973</v>
      </c>
      <c r="I188" s="2" t="s">
        <v>1974</v>
      </c>
      <c r="J188" s="2" t="s">
        <v>1975</v>
      </c>
      <c r="K188" s="2" t="s">
        <v>32</v>
      </c>
      <c r="L188" s="2" t="s">
        <v>1976</v>
      </c>
      <c r="M188" s="2" t="s">
        <v>1977</v>
      </c>
      <c r="N188" s="2" t="s">
        <v>65</v>
      </c>
      <c r="O188" s="2" t="s">
        <v>1978</v>
      </c>
      <c r="P188" s="2" t="s">
        <v>1979</v>
      </c>
      <c r="Q188" s="2" t="s">
        <v>1980</v>
      </c>
      <c r="R188" s="2" t="s">
        <v>39</v>
      </c>
      <c r="S188" s="2" t="s">
        <v>39</v>
      </c>
      <c r="T188" s="2" t="s">
        <v>39</v>
      </c>
      <c r="U188" s="2" t="s">
        <v>40</v>
      </c>
      <c r="V188" s="2" t="s">
        <v>1828</v>
      </c>
      <c r="W188" s="2" t="s">
        <v>55</v>
      </c>
    </row>
    <row r="189" spans="1:23" ht="55.2">
      <c r="A189" s="2" t="s">
        <v>1981</v>
      </c>
      <c r="B189" s="2" t="s">
        <v>24</v>
      </c>
      <c r="C189" s="2">
        <v>5</v>
      </c>
      <c r="D189" s="2" t="s">
        <v>1816</v>
      </c>
      <c r="E189" s="2" t="s">
        <v>1886</v>
      </c>
      <c r="F189" s="2" t="s">
        <v>1982</v>
      </c>
      <c r="G189" s="2" t="s">
        <v>1983</v>
      </c>
      <c r="H189" s="2" t="s">
        <v>1984</v>
      </c>
      <c r="I189" s="2" t="s">
        <v>1985</v>
      </c>
      <c r="J189" s="2" t="s">
        <v>1986</v>
      </c>
      <c r="K189" s="2" t="s">
        <v>88</v>
      </c>
      <c r="L189" s="2" t="s">
        <v>1987</v>
      </c>
      <c r="M189" s="2" t="s">
        <v>1988</v>
      </c>
      <c r="N189" s="2" t="s">
        <v>65</v>
      </c>
      <c r="O189" s="2" t="s">
        <v>1989</v>
      </c>
      <c r="P189" s="2" t="s">
        <v>1990</v>
      </c>
      <c r="Q189" s="2" t="s">
        <v>1991</v>
      </c>
      <c r="R189" s="2" t="s">
        <v>39</v>
      </c>
      <c r="S189" s="2" t="s">
        <v>39</v>
      </c>
      <c r="T189" s="2" t="s">
        <v>39</v>
      </c>
      <c r="U189" s="2" t="s">
        <v>40</v>
      </c>
      <c r="V189" s="2" t="s">
        <v>1828</v>
      </c>
      <c r="W189" s="2" t="s">
        <v>42</v>
      </c>
    </row>
    <row r="190" spans="1:23" ht="69">
      <c r="A190" s="2" t="s">
        <v>1992</v>
      </c>
      <c r="B190" s="2" t="s">
        <v>24</v>
      </c>
      <c r="C190" s="2">
        <v>5</v>
      </c>
      <c r="D190" s="2" t="s">
        <v>1816</v>
      </c>
      <c r="E190" s="2" t="s">
        <v>1886</v>
      </c>
      <c r="F190" s="2" t="s">
        <v>1993</v>
      </c>
      <c r="G190" s="2" t="s">
        <v>1994</v>
      </c>
      <c r="H190" s="2" t="s">
        <v>1995</v>
      </c>
      <c r="I190" s="2" t="s">
        <v>1996</v>
      </c>
      <c r="J190" s="2" t="s">
        <v>1997</v>
      </c>
      <c r="K190" s="2" t="s">
        <v>32</v>
      </c>
      <c r="L190" s="2" t="s">
        <v>1998</v>
      </c>
      <c r="M190" s="2" t="s">
        <v>1999</v>
      </c>
      <c r="N190" s="2" t="s">
        <v>65</v>
      </c>
      <c r="O190" s="2" t="s">
        <v>2000</v>
      </c>
      <c r="P190" s="2" t="s">
        <v>2001</v>
      </c>
      <c r="Q190" s="2" t="s">
        <v>2002</v>
      </c>
      <c r="R190" s="2" t="s">
        <v>39</v>
      </c>
      <c r="S190" s="2" t="s">
        <v>39</v>
      </c>
      <c r="T190" s="2" t="s">
        <v>39</v>
      </c>
      <c r="U190" s="2" t="s">
        <v>40</v>
      </c>
      <c r="V190" s="2" t="s">
        <v>1828</v>
      </c>
      <c r="W190" s="2" t="s">
        <v>42</v>
      </c>
    </row>
    <row r="191" spans="1:23" ht="41.4">
      <c r="A191" s="2" t="s">
        <v>2003</v>
      </c>
      <c r="B191" s="2" t="s">
        <v>24</v>
      </c>
      <c r="C191" s="2">
        <v>5</v>
      </c>
      <c r="D191" s="2" t="s">
        <v>1816</v>
      </c>
      <c r="E191" s="2" t="s">
        <v>1886</v>
      </c>
      <c r="F191" s="2" t="s">
        <v>2004</v>
      </c>
      <c r="G191" s="2" t="s">
        <v>2005</v>
      </c>
      <c r="H191" s="2" t="s">
        <v>2006</v>
      </c>
      <c r="I191" s="2" t="s">
        <v>2007</v>
      </c>
      <c r="J191" s="2" t="s">
        <v>595</v>
      </c>
      <c r="K191" s="2" t="s">
        <v>32</v>
      </c>
      <c r="L191" s="2" t="s">
        <v>2008</v>
      </c>
      <c r="M191" s="2" t="s">
        <v>2009</v>
      </c>
      <c r="N191" s="2" t="s">
        <v>65</v>
      </c>
      <c r="O191" s="2" t="s">
        <v>2010</v>
      </c>
      <c r="P191" s="2" t="s">
        <v>2011</v>
      </c>
      <c r="Q191" s="2" t="s">
        <v>2012</v>
      </c>
      <c r="R191" s="2" t="s">
        <v>39</v>
      </c>
      <c r="S191" s="2" t="s">
        <v>39</v>
      </c>
      <c r="T191" s="2" t="s">
        <v>39</v>
      </c>
      <c r="U191" s="2" t="s">
        <v>40</v>
      </c>
      <c r="V191" s="2" t="s">
        <v>1828</v>
      </c>
      <c r="W191" s="2" t="s">
        <v>55</v>
      </c>
    </row>
    <row r="192" spans="1:23" ht="41.4">
      <c r="A192" s="2" t="s">
        <v>2013</v>
      </c>
      <c r="B192" s="2" t="s">
        <v>24</v>
      </c>
      <c r="C192" s="2">
        <v>5</v>
      </c>
      <c r="D192" s="2" t="s">
        <v>1816</v>
      </c>
      <c r="E192" s="2" t="s">
        <v>1886</v>
      </c>
      <c r="F192" s="2" t="s">
        <v>2014</v>
      </c>
      <c r="G192" s="2" t="s">
        <v>2015</v>
      </c>
      <c r="H192" s="2" t="s">
        <v>2016</v>
      </c>
      <c r="I192" s="2" t="s">
        <v>2017</v>
      </c>
      <c r="J192" s="2" t="s">
        <v>2018</v>
      </c>
      <c r="K192" s="2" t="s">
        <v>76</v>
      </c>
      <c r="L192" s="2" t="s">
        <v>2019</v>
      </c>
      <c r="M192" s="2" t="s">
        <v>2020</v>
      </c>
      <c r="N192" s="2" t="s">
        <v>65</v>
      </c>
      <c r="O192" s="2" t="s">
        <v>2021</v>
      </c>
      <c r="P192" s="2" t="s">
        <v>2022</v>
      </c>
      <c r="Q192" s="2" t="s">
        <v>2023</v>
      </c>
      <c r="R192" s="2" t="s">
        <v>39</v>
      </c>
      <c r="S192" s="2" t="s">
        <v>39</v>
      </c>
      <c r="T192" s="2" t="s">
        <v>39</v>
      </c>
      <c r="U192" s="2" t="s">
        <v>40</v>
      </c>
      <c r="V192" s="2" t="s">
        <v>1828</v>
      </c>
      <c r="W192" s="2" t="s">
        <v>42</v>
      </c>
    </row>
    <row r="193" spans="1:23" ht="55.2">
      <c r="A193" s="2" t="s">
        <v>2024</v>
      </c>
      <c r="B193" s="2" t="s">
        <v>24</v>
      </c>
      <c r="C193" s="2">
        <v>5</v>
      </c>
      <c r="D193" s="2" t="s">
        <v>1816</v>
      </c>
      <c r="E193" s="2" t="s">
        <v>1886</v>
      </c>
      <c r="F193" s="2" t="s">
        <v>2025</v>
      </c>
      <c r="G193" s="2" t="s">
        <v>2026</v>
      </c>
      <c r="H193" s="2" t="s">
        <v>2027</v>
      </c>
      <c r="I193" s="2" t="s">
        <v>2028</v>
      </c>
      <c r="J193" s="2" t="s">
        <v>2029</v>
      </c>
      <c r="K193" s="2" t="s">
        <v>32</v>
      </c>
      <c r="L193" s="2" t="s">
        <v>2030</v>
      </c>
      <c r="M193" s="2" t="s">
        <v>2031</v>
      </c>
      <c r="N193" s="2" t="s">
        <v>65</v>
      </c>
      <c r="O193" s="2" t="s">
        <v>2032</v>
      </c>
      <c r="P193" s="2" t="s">
        <v>2033</v>
      </c>
      <c r="Q193" s="2" t="s">
        <v>2034</v>
      </c>
      <c r="R193" s="2" t="s">
        <v>39</v>
      </c>
      <c r="S193" s="2" t="s">
        <v>39</v>
      </c>
      <c r="T193" s="2" t="s">
        <v>39</v>
      </c>
      <c r="U193" s="2" t="s">
        <v>40</v>
      </c>
      <c r="V193" s="2" t="s">
        <v>1828</v>
      </c>
      <c r="W193" s="2" t="s">
        <v>42</v>
      </c>
    </row>
    <row r="194" spans="1:23" ht="55.2">
      <c r="A194" s="2" t="s">
        <v>2035</v>
      </c>
      <c r="B194" s="2" t="s">
        <v>24</v>
      </c>
      <c r="C194" s="2">
        <v>5</v>
      </c>
      <c r="D194" s="2" t="s">
        <v>1816</v>
      </c>
      <c r="E194" s="2" t="s">
        <v>1886</v>
      </c>
      <c r="F194" s="2" t="s">
        <v>2036</v>
      </c>
      <c r="G194" s="2" t="s">
        <v>2037</v>
      </c>
      <c r="H194" s="2" t="s">
        <v>2038</v>
      </c>
      <c r="I194" s="2" t="s">
        <v>2039</v>
      </c>
      <c r="J194" s="2" t="s">
        <v>2040</v>
      </c>
      <c r="K194" s="2" t="s">
        <v>76</v>
      </c>
      <c r="L194" s="2" t="s">
        <v>2041</v>
      </c>
      <c r="M194" s="2" t="s">
        <v>2042</v>
      </c>
      <c r="N194" s="2" t="s">
        <v>65</v>
      </c>
      <c r="O194" s="2" t="s">
        <v>2043</v>
      </c>
      <c r="P194" s="2" t="s">
        <v>2044</v>
      </c>
      <c r="Q194" s="2" t="s">
        <v>2045</v>
      </c>
      <c r="R194" s="2" t="s">
        <v>39</v>
      </c>
      <c r="S194" s="2" t="s">
        <v>39</v>
      </c>
      <c r="T194" s="2" t="s">
        <v>39</v>
      </c>
      <c r="U194" s="2" t="s">
        <v>40</v>
      </c>
      <c r="V194" s="2" t="s">
        <v>1828</v>
      </c>
      <c r="W194" s="2" t="s">
        <v>55</v>
      </c>
    </row>
    <row r="195" spans="1:23" ht="41.4">
      <c r="A195" s="2" t="s">
        <v>2046</v>
      </c>
      <c r="B195" s="2" t="s">
        <v>24</v>
      </c>
      <c r="C195" s="2">
        <v>5</v>
      </c>
      <c r="D195" s="2" t="s">
        <v>1816</v>
      </c>
      <c r="E195" s="2" t="s">
        <v>1830</v>
      </c>
      <c r="F195" s="2" t="s">
        <v>2047</v>
      </c>
      <c r="G195" s="2" t="s">
        <v>2048</v>
      </c>
      <c r="H195" s="2" t="s">
        <v>2049</v>
      </c>
      <c r="I195" s="2" t="s">
        <v>2050</v>
      </c>
      <c r="J195" s="2" t="s">
        <v>2051</v>
      </c>
      <c r="K195" s="2" t="s">
        <v>76</v>
      </c>
      <c r="L195" s="2" t="s">
        <v>2052</v>
      </c>
      <c r="M195" s="2" t="s">
        <v>2053</v>
      </c>
      <c r="N195" s="2" t="s">
        <v>65</v>
      </c>
      <c r="O195" s="2" t="s">
        <v>2054</v>
      </c>
      <c r="P195" s="2" t="s">
        <v>2055</v>
      </c>
      <c r="Q195" s="2" t="s">
        <v>2056</v>
      </c>
      <c r="R195" s="2" t="s">
        <v>39</v>
      </c>
      <c r="S195" s="2" t="s">
        <v>39</v>
      </c>
      <c r="T195" s="2" t="s">
        <v>39</v>
      </c>
      <c r="U195" s="2" t="s">
        <v>40</v>
      </c>
      <c r="V195" s="2" t="s">
        <v>1828</v>
      </c>
      <c r="W195" s="2" t="s">
        <v>55</v>
      </c>
    </row>
    <row r="196" spans="1:23" ht="41.4">
      <c r="A196" s="2" t="s">
        <v>2057</v>
      </c>
      <c r="B196" s="2" t="s">
        <v>24</v>
      </c>
      <c r="C196" s="2">
        <v>5</v>
      </c>
      <c r="D196" s="2" t="s">
        <v>1816</v>
      </c>
      <c r="E196" s="2" t="s">
        <v>1817</v>
      </c>
      <c r="F196" s="2" t="s">
        <v>2058</v>
      </c>
      <c r="G196" s="2" t="s">
        <v>2059</v>
      </c>
      <c r="H196" s="2" t="s">
        <v>2060</v>
      </c>
      <c r="I196" s="2" t="s">
        <v>2061</v>
      </c>
      <c r="J196" s="2" t="s">
        <v>2062</v>
      </c>
      <c r="K196" s="2" t="s">
        <v>62</v>
      </c>
      <c r="L196" s="2" t="s">
        <v>2063</v>
      </c>
      <c r="M196" s="2" t="s">
        <v>2064</v>
      </c>
      <c r="N196" s="2" t="s">
        <v>65</v>
      </c>
      <c r="O196" s="2" t="s">
        <v>2065</v>
      </c>
      <c r="P196" s="2" t="s">
        <v>2066</v>
      </c>
      <c r="Q196" s="2" t="s">
        <v>2067</v>
      </c>
      <c r="R196" s="2" t="s">
        <v>39</v>
      </c>
      <c r="S196" s="2" t="s">
        <v>39</v>
      </c>
      <c r="T196" s="2" t="s">
        <v>39</v>
      </c>
      <c r="U196" s="2" t="s">
        <v>40</v>
      </c>
      <c r="V196" s="2" t="s">
        <v>1828</v>
      </c>
      <c r="W196" s="2" t="s">
        <v>55</v>
      </c>
    </row>
    <row r="197" spans="1:23" ht="55.2">
      <c r="A197" s="2" t="s">
        <v>2068</v>
      </c>
      <c r="B197" s="2" t="s">
        <v>24</v>
      </c>
      <c r="C197" s="2">
        <v>5</v>
      </c>
      <c r="D197" s="2" t="s">
        <v>1816</v>
      </c>
      <c r="E197" s="2" t="s">
        <v>1830</v>
      </c>
      <c r="F197" s="2" t="s">
        <v>2069</v>
      </c>
      <c r="G197" s="2" t="s">
        <v>2070</v>
      </c>
      <c r="H197" s="2" t="s">
        <v>2071</v>
      </c>
      <c r="I197" s="2" t="s">
        <v>2072</v>
      </c>
      <c r="J197" s="2" t="s">
        <v>2073</v>
      </c>
      <c r="K197" s="2" t="s">
        <v>62</v>
      </c>
      <c r="L197" s="2" t="s">
        <v>2074</v>
      </c>
      <c r="M197" s="2" t="s">
        <v>2075</v>
      </c>
      <c r="N197" s="2" t="s">
        <v>65</v>
      </c>
      <c r="O197" s="2" t="s">
        <v>2076</v>
      </c>
      <c r="P197" s="2" t="s">
        <v>2077</v>
      </c>
      <c r="Q197" s="2" t="s">
        <v>2078</v>
      </c>
      <c r="R197" s="2" t="s">
        <v>39</v>
      </c>
      <c r="S197" s="2" t="s">
        <v>39</v>
      </c>
      <c r="T197" s="2" t="s">
        <v>39</v>
      </c>
      <c r="U197" s="2" t="s">
        <v>40</v>
      </c>
      <c r="V197" s="2" t="s">
        <v>1828</v>
      </c>
      <c r="W197" s="2" t="s">
        <v>42</v>
      </c>
    </row>
    <row r="198" spans="1:23" ht="55.2">
      <c r="A198" s="2" t="s">
        <v>2079</v>
      </c>
      <c r="B198" s="2" t="s">
        <v>24</v>
      </c>
      <c r="C198" s="2">
        <v>5</v>
      </c>
      <c r="D198" s="2" t="s">
        <v>1816</v>
      </c>
      <c r="E198" s="2" t="s">
        <v>1830</v>
      </c>
      <c r="F198" s="2" t="s">
        <v>2080</v>
      </c>
      <c r="G198" s="2" t="s">
        <v>2081</v>
      </c>
      <c r="H198" s="2" t="s">
        <v>2082</v>
      </c>
      <c r="I198" s="2" t="s">
        <v>2083</v>
      </c>
      <c r="J198" s="2" t="s">
        <v>2084</v>
      </c>
      <c r="K198" s="2" t="s">
        <v>76</v>
      </c>
      <c r="L198" s="2" t="s">
        <v>2085</v>
      </c>
      <c r="M198" s="2" t="s">
        <v>2086</v>
      </c>
      <c r="N198" s="2" t="s">
        <v>65</v>
      </c>
      <c r="O198" s="2" t="s">
        <v>2087</v>
      </c>
      <c r="P198" s="2" t="s">
        <v>2088</v>
      </c>
      <c r="Q198" s="2" t="s">
        <v>2089</v>
      </c>
      <c r="R198" s="2" t="s">
        <v>39</v>
      </c>
      <c r="S198" s="2" t="s">
        <v>39</v>
      </c>
      <c r="T198" s="2" t="s">
        <v>39</v>
      </c>
      <c r="U198" s="2" t="s">
        <v>40</v>
      </c>
      <c r="V198" s="2" t="s">
        <v>1828</v>
      </c>
      <c r="W198" s="2" t="s">
        <v>55</v>
      </c>
    </row>
    <row r="199" spans="1:23" ht="27.6">
      <c r="A199" s="2" t="s">
        <v>2090</v>
      </c>
      <c r="B199" s="2" t="s">
        <v>24</v>
      </c>
      <c r="C199" s="2">
        <v>5</v>
      </c>
      <c r="D199" s="2" t="s">
        <v>1816</v>
      </c>
      <c r="E199" s="2" t="s">
        <v>1830</v>
      </c>
      <c r="F199" s="2" t="s">
        <v>2091</v>
      </c>
      <c r="G199" s="2" t="s">
        <v>2092</v>
      </c>
      <c r="H199" s="2" t="s">
        <v>476</v>
      </c>
      <c r="I199" s="2" t="s">
        <v>2093</v>
      </c>
      <c r="J199" s="2" t="s">
        <v>2094</v>
      </c>
      <c r="K199" s="2" t="s">
        <v>32</v>
      </c>
      <c r="L199" s="2" t="s">
        <v>2095</v>
      </c>
      <c r="M199" s="2" t="s">
        <v>2096</v>
      </c>
      <c r="N199" s="2" t="s">
        <v>65</v>
      </c>
      <c r="O199" s="2" t="s">
        <v>2097</v>
      </c>
      <c r="P199" s="2" t="s">
        <v>2098</v>
      </c>
      <c r="Q199" s="2" t="s">
        <v>2099</v>
      </c>
      <c r="R199" s="2" t="s">
        <v>39</v>
      </c>
      <c r="S199" s="2" t="s">
        <v>39</v>
      </c>
      <c r="T199" s="2" t="s">
        <v>39</v>
      </c>
      <c r="U199" s="2" t="s">
        <v>40</v>
      </c>
      <c r="V199" s="2" t="s">
        <v>1828</v>
      </c>
      <c r="W199" s="2" t="s">
        <v>55</v>
      </c>
    </row>
    <row r="200" spans="1:23" ht="41.4">
      <c r="A200" s="2" t="s">
        <v>2100</v>
      </c>
      <c r="B200" s="2" t="s">
        <v>24</v>
      </c>
      <c r="C200" s="2">
        <v>5</v>
      </c>
      <c r="D200" s="2" t="s">
        <v>1816</v>
      </c>
      <c r="E200" s="2" t="s">
        <v>1817</v>
      </c>
      <c r="F200" s="2" t="s">
        <v>2101</v>
      </c>
      <c r="G200" s="2" t="s">
        <v>2102</v>
      </c>
      <c r="H200" s="2" t="s">
        <v>2094</v>
      </c>
      <c r="I200" s="2" t="s">
        <v>2103</v>
      </c>
      <c r="J200" s="2" t="s">
        <v>2104</v>
      </c>
      <c r="K200" s="2" t="s">
        <v>88</v>
      </c>
      <c r="L200" s="2" t="s">
        <v>2105</v>
      </c>
      <c r="M200" s="2" t="s">
        <v>2106</v>
      </c>
      <c r="N200" s="2" t="s">
        <v>65</v>
      </c>
      <c r="O200" s="2" t="s">
        <v>2107</v>
      </c>
      <c r="P200" s="2" t="s">
        <v>2108</v>
      </c>
      <c r="Q200" s="2" t="s">
        <v>2109</v>
      </c>
      <c r="R200" s="2" t="s">
        <v>39</v>
      </c>
      <c r="S200" s="2" t="s">
        <v>39</v>
      </c>
      <c r="T200" s="2" t="s">
        <v>39</v>
      </c>
      <c r="U200" s="2" t="s">
        <v>40</v>
      </c>
      <c r="V200" s="2" t="s">
        <v>1828</v>
      </c>
      <c r="W200" s="2" t="s">
        <v>55</v>
      </c>
    </row>
    <row r="201" spans="1:23" ht="55.2">
      <c r="A201" s="2" t="s">
        <v>2110</v>
      </c>
      <c r="B201" s="2" t="s">
        <v>24</v>
      </c>
      <c r="C201" s="2">
        <v>5</v>
      </c>
      <c r="D201" s="2" t="s">
        <v>1816</v>
      </c>
      <c r="E201" s="2" t="s">
        <v>1830</v>
      </c>
      <c r="F201" s="2" t="s">
        <v>2111</v>
      </c>
      <c r="G201" s="2" t="s">
        <v>2112</v>
      </c>
      <c r="H201" s="2" t="s">
        <v>2113</v>
      </c>
      <c r="I201" s="2" t="s">
        <v>2114</v>
      </c>
      <c r="J201" s="2" t="s">
        <v>2115</v>
      </c>
      <c r="K201" s="2" t="s">
        <v>76</v>
      </c>
      <c r="L201" s="2" t="s">
        <v>2116</v>
      </c>
      <c r="M201" s="2" t="s">
        <v>2117</v>
      </c>
      <c r="N201" s="2" t="s">
        <v>65</v>
      </c>
      <c r="O201" s="2" t="s">
        <v>2118</v>
      </c>
      <c r="P201" s="2" t="s">
        <v>2119</v>
      </c>
      <c r="Q201" s="2" t="s">
        <v>2120</v>
      </c>
      <c r="R201" s="2" t="s">
        <v>39</v>
      </c>
      <c r="S201" s="2" t="s">
        <v>39</v>
      </c>
      <c r="T201" s="2" t="s">
        <v>39</v>
      </c>
      <c r="U201" s="2" t="s">
        <v>40</v>
      </c>
      <c r="V201" s="2" t="s">
        <v>1828</v>
      </c>
      <c r="W201" s="2" t="s">
        <v>42</v>
      </c>
    </row>
    <row r="202" spans="1:23" ht="41.4">
      <c r="A202" s="2" t="s">
        <v>2121</v>
      </c>
      <c r="B202" s="2" t="s">
        <v>24</v>
      </c>
      <c r="C202" s="2">
        <v>5</v>
      </c>
      <c r="D202" s="2" t="s">
        <v>1816</v>
      </c>
      <c r="E202" s="2" t="s">
        <v>1830</v>
      </c>
      <c r="F202" s="2" t="s">
        <v>2122</v>
      </c>
      <c r="G202" s="2" t="s">
        <v>2123</v>
      </c>
      <c r="H202" s="2" t="s">
        <v>2124</v>
      </c>
      <c r="I202" s="2" t="s">
        <v>2125</v>
      </c>
      <c r="J202" s="2" t="s">
        <v>2126</v>
      </c>
      <c r="K202" s="2" t="s">
        <v>76</v>
      </c>
      <c r="L202" s="2" t="s">
        <v>2127</v>
      </c>
      <c r="M202" s="2" t="s">
        <v>2128</v>
      </c>
      <c r="N202" s="2" t="s">
        <v>191</v>
      </c>
      <c r="O202" s="2" t="s">
        <v>2129</v>
      </c>
      <c r="P202" s="2" t="s">
        <v>2130</v>
      </c>
      <c r="Q202" s="2" t="s">
        <v>2131</v>
      </c>
      <c r="R202" s="2" t="s">
        <v>39</v>
      </c>
      <c r="S202" s="2" t="s">
        <v>39</v>
      </c>
      <c r="T202" s="2" t="s">
        <v>39</v>
      </c>
      <c r="U202" s="2" t="s">
        <v>40</v>
      </c>
      <c r="V202" s="2" t="s">
        <v>1828</v>
      </c>
      <c r="W202" s="2" t="s">
        <v>55</v>
      </c>
    </row>
    <row r="203" spans="1:23" ht="55.2">
      <c r="A203" s="2" t="s">
        <v>2132</v>
      </c>
      <c r="B203" s="2" t="s">
        <v>24</v>
      </c>
      <c r="C203" s="2">
        <v>5</v>
      </c>
      <c r="D203" s="2" t="s">
        <v>1816</v>
      </c>
      <c r="E203" s="2" t="s">
        <v>1817</v>
      </c>
      <c r="F203" s="2" t="s">
        <v>2133</v>
      </c>
      <c r="G203" s="2" t="s">
        <v>2134</v>
      </c>
      <c r="H203" s="2" t="s">
        <v>2135</v>
      </c>
      <c r="I203" s="2" t="s">
        <v>2136</v>
      </c>
      <c r="J203" s="2" t="s">
        <v>2137</v>
      </c>
      <c r="K203" s="2" t="s">
        <v>88</v>
      </c>
      <c r="L203" s="2" t="s">
        <v>2138</v>
      </c>
      <c r="M203" s="2" t="s">
        <v>2139</v>
      </c>
      <c r="N203" s="2" t="s">
        <v>191</v>
      </c>
      <c r="O203" s="2" t="s">
        <v>2140</v>
      </c>
      <c r="P203" s="2" t="s">
        <v>2141</v>
      </c>
      <c r="Q203" s="2" t="s">
        <v>2142</v>
      </c>
      <c r="R203" s="2" t="s">
        <v>39</v>
      </c>
      <c r="S203" s="2" t="s">
        <v>39</v>
      </c>
      <c r="T203" s="2" t="s">
        <v>39</v>
      </c>
      <c r="U203" s="2" t="s">
        <v>40</v>
      </c>
      <c r="V203" s="2" t="s">
        <v>1828</v>
      </c>
      <c r="W203" s="2" t="s">
        <v>55</v>
      </c>
    </row>
    <row r="204" spans="1:23" ht="41.4">
      <c r="A204" s="2" t="s">
        <v>2143</v>
      </c>
      <c r="B204" s="2" t="s">
        <v>24</v>
      </c>
      <c r="C204" s="2">
        <v>5</v>
      </c>
      <c r="D204" s="2" t="s">
        <v>1816</v>
      </c>
      <c r="E204" s="2" t="s">
        <v>1817</v>
      </c>
      <c r="F204" s="2" t="s">
        <v>2144</v>
      </c>
      <c r="G204" s="2" t="s">
        <v>2145</v>
      </c>
      <c r="H204" s="2" t="s">
        <v>2146</v>
      </c>
      <c r="I204" s="2" t="s">
        <v>2147</v>
      </c>
      <c r="J204" s="2" t="s">
        <v>2148</v>
      </c>
      <c r="K204" s="2" t="s">
        <v>88</v>
      </c>
      <c r="L204" s="2" t="s">
        <v>2149</v>
      </c>
      <c r="M204" s="2" t="s">
        <v>2150</v>
      </c>
      <c r="N204" s="2" t="s">
        <v>191</v>
      </c>
      <c r="O204" s="2" t="s">
        <v>2151</v>
      </c>
      <c r="P204" s="2" t="s">
        <v>2152</v>
      </c>
      <c r="Q204" s="2" t="s">
        <v>2153</v>
      </c>
      <c r="R204" s="2" t="s">
        <v>39</v>
      </c>
      <c r="S204" s="2" t="s">
        <v>39</v>
      </c>
      <c r="T204" s="2" t="s">
        <v>39</v>
      </c>
      <c r="U204" s="2" t="s">
        <v>40</v>
      </c>
      <c r="V204" s="2" t="s">
        <v>1828</v>
      </c>
      <c r="W204" s="2" t="s">
        <v>55</v>
      </c>
    </row>
    <row r="205" spans="1:23" ht="55.2">
      <c r="A205" s="2" t="s">
        <v>2154</v>
      </c>
      <c r="B205" s="2" t="s">
        <v>24</v>
      </c>
      <c r="C205" s="2">
        <v>5</v>
      </c>
      <c r="D205" s="2" t="s">
        <v>1816</v>
      </c>
      <c r="E205" s="2" t="s">
        <v>1830</v>
      </c>
      <c r="F205" s="2" t="s">
        <v>2155</v>
      </c>
      <c r="G205" s="2" t="s">
        <v>2156</v>
      </c>
      <c r="H205" s="2" t="s">
        <v>2157</v>
      </c>
      <c r="I205" s="2" t="s">
        <v>2158</v>
      </c>
      <c r="J205" s="2" t="s">
        <v>2159</v>
      </c>
      <c r="K205" s="2" t="s">
        <v>76</v>
      </c>
      <c r="L205" s="2" t="s">
        <v>2160</v>
      </c>
      <c r="M205" s="2" t="s">
        <v>2161</v>
      </c>
      <c r="N205" s="2" t="s">
        <v>65</v>
      </c>
      <c r="O205" s="2" t="s">
        <v>2162</v>
      </c>
      <c r="P205" s="2" t="s">
        <v>2163</v>
      </c>
      <c r="Q205" s="2" t="s">
        <v>2164</v>
      </c>
      <c r="R205" s="2" t="s">
        <v>39</v>
      </c>
      <c r="S205" s="2" t="s">
        <v>39</v>
      </c>
      <c r="T205" s="2" t="s">
        <v>39</v>
      </c>
      <c r="U205" s="2" t="s">
        <v>40</v>
      </c>
      <c r="V205" s="2" t="s">
        <v>1828</v>
      </c>
      <c r="W205" s="2" t="s">
        <v>42</v>
      </c>
    </row>
  </sheetData>
  <conditionalFormatting sqref="K2:K205">
    <cfRule type="expression" dxfId="11" priority="1">
      <formula>K2="A"</formula>
    </cfRule>
    <cfRule type="expression" dxfId="10" priority="2">
      <formula>K2="B"</formula>
    </cfRule>
    <cfRule type="expression" dxfId="9" priority="3">
      <formula>K2="C"</formula>
    </cfRule>
    <cfRule type="expression" dxfId="8" priority="4">
      <formula>K2="D"</formula>
    </cfRule>
  </conditionalFormatting>
  <conditionalFormatting sqref="N2:N205">
    <cfRule type="expression" dxfId="7" priority="5">
      <formula>LEFT(N2,1)="🟢"</formula>
    </cfRule>
    <cfRule type="expression" dxfId="6" priority="6">
      <formula>LEFT(N2,1)="🟡"</formula>
    </cfRule>
    <cfRule type="expression" dxfId="5" priority="7">
      <formula>LEFT(N2,1)="🔴"</formula>
    </cfRule>
  </conditionalFormatting>
  <dataValidations count="4">
    <dataValidation type="list" sqref="K2:K205" xr:uid="{00000000-0002-0000-0000-000000000000}">
      <formula1>"A,B,C,D"</formula1>
    </dataValidation>
    <dataValidation type="list" sqref="N2:N205" xr:uid="{00000000-0002-0000-0000-000001000000}">
      <formula1>"🟢 Facile,🟡 Intermédiaire,🔴 Difficile"</formula1>
    </dataValidation>
    <dataValidation type="list" sqref="R2:T205" xr:uid="{00000000-0002-0000-0000-000002000000}">
      <formula1>"Oui,Non"</formula1>
    </dataValidation>
    <dataValidation type="list" sqref="U2:U205" xr:uid="{00000000-0002-0000-0000-000003000000}">
      <formula1>"À rédiger,À vérifier,À valider,Validée,Publiée"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selection sqref="A1:H1"/>
    </sheetView>
  </sheetViews>
  <sheetFormatPr baseColWidth="10" defaultColWidth="8.796875" defaultRowHeight="13.8"/>
  <cols>
    <col min="1" max="6" width="24" customWidth="1"/>
  </cols>
  <sheetData>
    <row r="1" spans="1:8" ht="19.2" customHeight="1">
      <c r="A1" s="10" t="s">
        <v>2165</v>
      </c>
      <c r="B1" s="11"/>
      <c r="C1" s="11"/>
      <c r="D1" s="11"/>
      <c r="E1" s="11"/>
      <c r="F1" s="11"/>
      <c r="G1" s="11"/>
      <c r="H1" s="11"/>
    </row>
    <row r="3" spans="1:8">
      <c r="A3" s="3" t="s">
        <v>2166</v>
      </c>
      <c r="B3" s="3" t="s">
        <v>2167</v>
      </c>
      <c r="C3" s="3" t="s">
        <v>2168</v>
      </c>
      <c r="E3" s="3" t="s">
        <v>10</v>
      </c>
      <c r="F3" s="3" t="s">
        <v>2169</v>
      </c>
    </row>
    <row r="4" spans="1:8">
      <c r="A4" t="s">
        <v>2170</v>
      </c>
      <c r="B4">
        <f>COUNTA(Banque_CR!A2:A1000)</f>
        <v>204</v>
      </c>
      <c r="C4" t="s">
        <v>2171</v>
      </c>
      <c r="E4" t="s">
        <v>88</v>
      </c>
      <c r="F4">
        <f>COUNTIF(Banque_CR!K2:K1000,"A")</f>
        <v>50</v>
      </c>
    </row>
    <row r="5" spans="1:8">
      <c r="A5" t="s">
        <v>2172</v>
      </c>
      <c r="B5">
        <f>COUNTIF(Banque_CR!C2:C1000,1)</f>
        <v>39</v>
      </c>
      <c r="C5" t="s">
        <v>2173</v>
      </c>
      <c r="E5" t="s">
        <v>76</v>
      </c>
      <c r="F5">
        <f>COUNTIF(Banque_CR!K2:K1000,"B")</f>
        <v>51</v>
      </c>
    </row>
    <row r="6" spans="1:8">
      <c r="A6" t="s">
        <v>2174</v>
      </c>
      <c r="B6">
        <f>COUNTIF(Banque_CR!C2:C1000,2)</f>
        <v>50</v>
      </c>
      <c r="C6" t="s">
        <v>2175</v>
      </c>
      <c r="E6" t="s">
        <v>32</v>
      </c>
      <c r="F6">
        <f>COUNTIF(Banque_CR!K2:K1000,"C")</f>
        <v>51</v>
      </c>
    </row>
    <row r="7" spans="1:8">
      <c r="A7" t="s">
        <v>2176</v>
      </c>
      <c r="B7">
        <f>COUNTIF(Banque_CR!C2:C1000,3)</f>
        <v>38</v>
      </c>
      <c r="C7" t="s">
        <v>2177</v>
      </c>
      <c r="E7" t="s">
        <v>62</v>
      </c>
      <c r="F7">
        <f>COUNTIF(Banque_CR!K2:K1000,"D")</f>
        <v>52</v>
      </c>
    </row>
    <row r="8" spans="1:8">
      <c r="A8" t="s">
        <v>2178</v>
      </c>
      <c r="B8">
        <f>COUNTIF(Banque_CR!C2:C1000,4)</f>
        <v>45</v>
      </c>
      <c r="C8" t="s">
        <v>2179</v>
      </c>
      <c r="E8" t="s">
        <v>2180</v>
      </c>
      <c r="F8">
        <f>SUM(F4:F7)</f>
        <v>204</v>
      </c>
    </row>
    <row r="9" spans="1:8">
      <c r="A9" t="s">
        <v>2181</v>
      </c>
      <c r="B9">
        <f>COUNTIF(Banque_CR!C2:C1000,5)</f>
        <v>32</v>
      </c>
      <c r="C9" t="s">
        <v>2182</v>
      </c>
    </row>
    <row r="10" spans="1:8">
      <c r="A10" t="s">
        <v>2183</v>
      </c>
      <c r="B10">
        <f>COUNTIF(Banque_CR!U2:U1000,"À vérifier")</f>
        <v>204</v>
      </c>
      <c r="C10" t="s">
        <v>2184</v>
      </c>
    </row>
    <row r="13" spans="1:8">
      <c r="A13" s="12" t="s">
        <v>2185</v>
      </c>
      <c r="B13" s="11"/>
      <c r="C13" s="11"/>
      <c r="D13" s="11"/>
      <c r="E13" s="11"/>
      <c r="F13" s="11"/>
    </row>
    <row r="14" spans="1:8" ht="27.6">
      <c r="A14" s="2" t="s">
        <v>2186</v>
      </c>
      <c r="B14" s="2" t="s">
        <v>2187</v>
      </c>
      <c r="C14" s="2"/>
      <c r="D14" s="2"/>
      <c r="E14" s="2"/>
      <c r="F14" s="2"/>
    </row>
    <row r="15" spans="1:8" ht="55.2">
      <c r="A15" s="2" t="s">
        <v>2188</v>
      </c>
      <c r="B15" s="2" t="s">
        <v>2189</v>
      </c>
      <c r="C15" s="2"/>
      <c r="D15" s="2"/>
      <c r="E15" s="2"/>
      <c r="F15" s="2"/>
    </row>
    <row r="16" spans="1:8" ht="41.4">
      <c r="A16" s="2" t="s">
        <v>2190</v>
      </c>
      <c r="B16" s="2" t="s">
        <v>2191</v>
      </c>
      <c r="C16" s="2"/>
      <c r="D16" s="2"/>
      <c r="E16" s="2"/>
      <c r="F16" s="2"/>
    </row>
    <row r="17" spans="1:6" ht="41.4">
      <c r="A17" s="2" t="s">
        <v>2192</v>
      </c>
      <c r="B17" s="2" t="s">
        <v>2193</v>
      </c>
      <c r="C17" s="2"/>
      <c r="D17" s="2"/>
      <c r="E17" s="2"/>
      <c r="F17" s="2"/>
    </row>
    <row r="18" spans="1:6" ht="41.4">
      <c r="A18" s="2" t="s">
        <v>2194</v>
      </c>
      <c r="B18" s="2" t="s">
        <v>2195</v>
      </c>
      <c r="C18" s="2"/>
      <c r="D18" s="2"/>
      <c r="E18" s="2"/>
      <c r="F18" s="2"/>
    </row>
  </sheetData>
  <mergeCells count="2">
    <mergeCell ref="A1:H1"/>
    <mergeCell ref="A13:F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sqref="A1:D1"/>
    </sheetView>
  </sheetViews>
  <sheetFormatPr baseColWidth="10" defaultColWidth="8.796875" defaultRowHeight="13.8"/>
  <cols>
    <col min="1" max="1" width="22" customWidth="1"/>
    <col min="2" max="2" width="14" customWidth="1"/>
    <col min="3" max="3" width="46" customWidth="1"/>
    <col min="4" max="4" width="28" customWidth="1"/>
  </cols>
  <sheetData>
    <row r="1" spans="1:4" ht="19.2" customHeight="1">
      <c r="A1" s="10" t="s">
        <v>2196</v>
      </c>
      <c r="B1" s="11"/>
      <c r="C1" s="11"/>
      <c r="D1" s="11"/>
    </row>
    <row r="3" spans="1:4">
      <c r="A3" s="4" t="s">
        <v>2197</v>
      </c>
      <c r="B3" s="4" t="s">
        <v>2198</v>
      </c>
      <c r="C3" s="4" t="s">
        <v>2199</v>
      </c>
      <c r="D3" s="4" t="s">
        <v>2200</v>
      </c>
    </row>
    <row r="4" spans="1:4">
      <c r="A4" s="2" t="s">
        <v>0</v>
      </c>
      <c r="B4" s="2" t="s">
        <v>39</v>
      </c>
      <c r="C4" s="2" t="s">
        <v>2201</v>
      </c>
      <c r="D4" s="2" t="s">
        <v>2202</v>
      </c>
    </row>
    <row r="5" spans="1:4">
      <c r="A5" s="2" t="s">
        <v>5</v>
      </c>
      <c r="B5" s="2" t="s">
        <v>39</v>
      </c>
      <c r="C5" s="2" t="s">
        <v>2203</v>
      </c>
      <c r="D5" s="2" t="s">
        <v>2202</v>
      </c>
    </row>
    <row r="6" spans="1:4">
      <c r="A6" s="2" t="s">
        <v>2204</v>
      </c>
      <c r="B6" s="2" t="s">
        <v>39</v>
      </c>
      <c r="C6" s="2" t="s">
        <v>2205</v>
      </c>
      <c r="D6" s="2" t="s">
        <v>2202</v>
      </c>
    </row>
    <row r="7" spans="1:4">
      <c r="A7" s="2" t="s">
        <v>10</v>
      </c>
      <c r="B7" s="2" t="s">
        <v>39</v>
      </c>
      <c r="C7" s="2" t="s">
        <v>2206</v>
      </c>
      <c r="D7" s="2" t="s">
        <v>2207</v>
      </c>
    </row>
    <row r="8" spans="1:4">
      <c r="A8" s="2" t="s">
        <v>11</v>
      </c>
      <c r="B8" s="2" t="s">
        <v>39</v>
      </c>
      <c r="C8" s="2" t="s">
        <v>2208</v>
      </c>
      <c r="D8" s="2" t="s">
        <v>2209</v>
      </c>
    </row>
    <row r="9" spans="1:4">
      <c r="A9" s="2" t="s">
        <v>12</v>
      </c>
      <c r="B9" s="2" t="s">
        <v>39</v>
      </c>
      <c r="C9" s="2" t="s">
        <v>2210</v>
      </c>
      <c r="D9" s="2" t="s">
        <v>18</v>
      </c>
    </row>
    <row r="10" spans="1:4">
      <c r="A10" s="2" t="s">
        <v>13</v>
      </c>
      <c r="B10" s="2" t="s">
        <v>39</v>
      </c>
      <c r="C10" s="2" t="s">
        <v>2211</v>
      </c>
      <c r="D10" s="2" t="s">
        <v>2212</v>
      </c>
    </row>
    <row r="11" spans="1:4">
      <c r="A11" s="2" t="s">
        <v>14</v>
      </c>
      <c r="B11" s="2" t="s">
        <v>39</v>
      </c>
      <c r="C11" s="2" t="s">
        <v>2213</v>
      </c>
      <c r="D11" s="2" t="s">
        <v>2214</v>
      </c>
    </row>
    <row r="12" spans="1:4">
      <c r="A12" s="2" t="s">
        <v>15</v>
      </c>
      <c r="B12" s="2" t="s">
        <v>39</v>
      </c>
      <c r="C12" s="2" t="s">
        <v>2215</v>
      </c>
      <c r="D12" s="2" t="s">
        <v>2216</v>
      </c>
    </row>
    <row r="13" spans="1:4">
      <c r="A13" s="2" t="s">
        <v>2217</v>
      </c>
      <c r="B13" s="2" t="s">
        <v>39</v>
      </c>
      <c r="C13" s="2" t="s">
        <v>2218</v>
      </c>
      <c r="D13" s="2" t="s">
        <v>18</v>
      </c>
    </row>
    <row r="14" spans="1:4">
      <c r="A14" s="2" t="s">
        <v>20</v>
      </c>
      <c r="B14" s="2" t="s">
        <v>39</v>
      </c>
      <c r="C14" s="2" t="s">
        <v>2219</v>
      </c>
      <c r="D14" s="2" t="s">
        <v>2220</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sqref="A1:D1"/>
    </sheetView>
  </sheetViews>
  <sheetFormatPr baseColWidth="10" defaultColWidth="8.796875" defaultRowHeight="13.8"/>
  <cols>
    <col min="1" max="4" width="32" customWidth="1"/>
  </cols>
  <sheetData>
    <row r="1" spans="1:4" ht="19.2" customHeight="1">
      <c r="A1" s="10" t="s">
        <v>2221</v>
      </c>
      <c r="B1" s="11"/>
      <c r="C1" s="11"/>
      <c r="D1" s="11"/>
    </row>
    <row r="3" spans="1:4">
      <c r="A3" s="3" t="s">
        <v>2222</v>
      </c>
      <c r="B3" s="3" t="s">
        <v>2223</v>
      </c>
      <c r="C3" s="3" t="s">
        <v>2224</v>
      </c>
      <c r="D3" s="3" t="s">
        <v>2225</v>
      </c>
    </row>
    <row r="4" spans="1:4">
      <c r="A4">
        <v>1</v>
      </c>
      <c r="B4" t="s">
        <v>41</v>
      </c>
      <c r="C4">
        <v>39</v>
      </c>
      <c r="D4" t="s">
        <v>2226</v>
      </c>
    </row>
    <row r="5" spans="1:4">
      <c r="A5">
        <v>2</v>
      </c>
      <c r="B5" t="s">
        <v>447</v>
      </c>
      <c r="C5">
        <v>50</v>
      </c>
      <c r="D5" t="s">
        <v>2226</v>
      </c>
    </row>
    <row r="6" spans="1:4">
      <c r="A6">
        <v>3</v>
      </c>
      <c r="B6" t="s">
        <v>962</v>
      </c>
      <c r="C6">
        <v>38</v>
      </c>
      <c r="D6" t="s">
        <v>2226</v>
      </c>
    </row>
    <row r="7" spans="1:4">
      <c r="A7">
        <v>4</v>
      </c>
      <c r="B7" t="s">
        <v>1361</v>
      </c>
      <c r="C7">
        <v>45</v>
      </c>
      <c r="D7" t="s">
        <v>2226</v>
      </c>
    </row>
    <row r="8" spans="1:4">
      <c r="A8">
        <v>5</v>
      </c>
      <c r="B8" t="s">
        <v>1828</v>
      </c>
      <c r="C8">
        <v>32</v>
      </c>
      <c r="D8" t="s">
        <v>2226</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05"/>
  <sheetViews>
    <sheetView workbookViewId="0">
      <selection activeCell="D2" sqref="D2"/>
    </sheetView>
  </sheetViews>
  <sheetFormatPr baseColWidth="10" defaultColWidth="8.796875" defaultRowHeight="13.8"/>
  <cols>
    <col min="1" max="1" width="16" customWidth="1"/>
    <col min="2" max="2" width="22" customWidth="1"/>
    <col min="3" max="4" width="12" customWidth="1"/>
    <col min="5" max="5" width="31" customWidth="1"/>
    <col min="6" max="6" width="14" customWidth="1"/>
    <col min="7" max="7" width="39" customWidth="1"/>
    <col min="8" max="8" width="50" customWidth="1"/>
    <col min="9" max="12" width="33" customWidth="1"/>
    <col min="13" max="13" width="14" customWidth="1"/>
    <col min="14" max="14" width="52" customWidth="1"/>
    <col min="15" max="15" width="35" customWidth="1"/>
    <col min="16" max="16" width="17" customWidth="1"/>
    <col min="17" max="17" width="34" customWidth="1"/>
    <col min="18" max="18" width="28" customWidth="1"/>
    <col min="19" max="19" width="38" customWidth="1"/>
    <col min="20" max="21" width="13" customWidth="1"/>
    <col min="22" max="22" width="15" customWidth="1"/>
    <col min="23" max="23" width="12" customWidth="1"/>
    <col min="24" max="24" width="30" customWidth="1"/>
    <col min="25" max="25" width="28" customWidth="1"/>
  </cols>
  <sheetData>
    <row r="1" spans="1:25" ht="27.15" customHeight="1">
      <c r="A1" s="7" t="s">
        <v>2227</v>
      </c>
      <c r="B1" s="7" t="s">
        <v>2228</v>
      </c>
      <c r="C1" s="7" t="s">
        <v>2229</v>
      </c>
      <c r="D1" s="7" t="s">
        <v>2230</v>
      </c>
      <c r="E1" s="7" t="s">
        <v>2231</v>
      </c>
      <c r="F1" s="7" t="s">
        <v>2232</v>
      </c>
      <c r="G1" s="7" t="s">
        <v>2233</v>
      </c>
      <c r="H1" s="7" t="s">
        <v>2234</v>
      </c>
      <c r="I1" s="7" t="s">
        <v>2235</v>
      </c>
      <c r="J1" s="7" t="s">
        <v>2236</v>
      </c>
      <c r="K1" s="7" t="s">
        <v>2237</v>
      </c>
      <c r="L1" s="7" t="s">
        <v>2238</v>
      </c>
      <c r="M1" s="7" t="s">
        <v>2239</v>
      </c>
      <c r="N1" s="7" t="s">
        <v>2240</v>
      </c>
      <c r="O1" s="7" t="s">
        <v>2241</v>
      </c>
      <c r="P1" s="7" t="s">
        <v>2242</v>
      </c>
      <c r="Q1" s="7" t="s">
        <v>2243</v>
      </c>
      <c r="R1" s="7" t="s">
        <v>2244</v>
      </c>
      <c r="S1" s="7" t="s">
        <v>2245</v>
      </c>
      <c r="T1" s="7" t="s">
        <v>2246</v>
      </c>
      <c r="U1" s="7" t="s">
        <v>2247</v>
      </c>
      <c r="V1" s="7" t="s">
        <v>2248</v>
      </c>
      <c r="W1" s="7" t="s">
        <v>2249</v>
      </c>
      <c r="X1" s="7" t="s">
        <v>2250</v>
      </c>
      <c r="Y1" s="7" t="s">
        <v>2251</v>
      </c>
    </row>
    <row r="2" spans="1:25" ht="41.4">
      <c r="A2" s="8" t="s">
        <v>23</v>
      </c>
      <c r="B2" s="8" t="s">
        <v>2252</v>
      </c>
      <c r="C2" s="8">
        <v>3</v>
      </c>
      <c r="D2" s="8" t="s">
        <v>2253</v>
      </c>
      <c r="E2" s="8" t="s">
        <v>950</v>
      </c>
      <c r="F2" s="8" t="s">
        <v>2254</v>
      </c>
      <c r="G2" s="8" t="s">
        <v>2255</v>
      </c>
      <c r="H2" s="8" t="s">
        <v>27</v>
      </c>
      <c r="I2" s="8" t="s">
        <v>28</v>
      </c>
      <c r="J2" s="8" t="s">
        <v>29</v>
      </c>
      <c r="K2" s="8" t="s">
        <v>30</v>
      </c>
      <c r="L2" s="8" t="s">
        <v>31</v>
      </c>
      <c r="M2" s="8" t="s">
        <v>32</v>
      </c>
      <c r="N2" s="8" t="s">
        <v>33</v>
      </c>
      <c r="O2" s="8" t="s">
        <v>34</v>
      </c>
      <c r="P2" s="8" t="s">
        <v>35</v>
      </c>
      <c r="Q2" s="8" t="s">
        <v>36</v>
      </c>
      <c r="R2" s="8" t="s">
        <v>37</v>
      </c>
      <c r="S2" s="8" t="s">
        <v>38</v>
      </c>
      <c r="T2" s="8" t="s">
        <v>39</v>
      </c>
      <c r="U2" s="8" t="s">
        <v>39</v>
      </c>
      <c r="V2" s="8" t="s">
        <v>39</v>
      </c>
      <c r="W2" s="8" t="s">
        <v>39</v>
      </c>
      <c r="X2" s="8" t="s">
        <v>41</v>
      </c>
      <c r="Y2" s="8" t="s">
        <v>42</v>
      </c>
    </row>
    <row r="3" spans="1:25" ht="41.4">
      <c r="A3" s="8" t="s">
        <v>43</v>
      </c>
      <c r="B3" s="8" t="s">
        <v>2252</v>
      </c>
      <c r="C3" s="8">
        <v>1</v>
      </c>
      <c r="D3" s="8" t="s">
        <v>2256</v>
      </c>
      <c r="E3" s="8" t="s">
        <v>25</v>
      </c>
      <c r="F3" s="8" t="s">
        <v>2257</v>
      </c>
      <c r="G3" s="8" t="s">
        <v>2258</v>
      </c>
      <c r="H3" s="8" t="s">
        <v>45</v>
      </c>
      <c r="I3" s="8" t="s">
        <v>46</v>
      </c>
      <c r="J3" s="8" t="s">
        <v>47</v>
      </c>
      <c r="K3" s="8" t="s">
        <v>48</v>
      </c>
      <c r="L3" s="8" t="s">
        <v>49</v>
      </c>
      <c r="M3" s="8" t="s">
        <v>32</v>
      </c>
      <c r="N3" s="8" t="s">
        <v>50</v>
      </c>
      <c r="O3" s="8" t="s">
        <v>51</v>
      </c>
      <c r="P3" s="8" t="s">
        <v>35</v>
      </c>
      <c r="Q3" s="8" t="s">
        <v>52</v>
      </c>
      <c r="R3" s="8" t="s">
        <v>53</v>
      </c>
      <c r="S3" s="8" t="s">
        <v>54</v>
      </c>
      <c r="T3" s="8" t="s">
        <v>39</v>
      </c>
      <c r="U3" s="8" t="s">
        <v>39</v>
      </c>
      <c r="V3" s="8" t="s">
        <v>39</v>
      </c>
      <c r="W3" s="8" t="s">
        <v>39</v>
      </c>
      <c r="X3" s="8" t="s">
        <v>41</v>
      </c>
      <c r="Y3" s="8" t="s">
        <v>55</v>
      </c>
    </row>
    <row r="4" spans="1:25" ht="41.4">
      <c r="A4" s="8" t="s">
        <v>56</v>
      </c>
      <c r="B4" s="8" t="s">
        <v>2252</v>
      </c>
      <c r="C4" s="8">
        <v>5</v>
      </c>
      <c r="D4" s="8" t="s">
        <v>2259</v>
      </c>
      <c r="E4" s="8" t="s">
        <v>1816</v>
      </c>
      <c r="F4" s="8" t="s">
        <v>2260</v>
      </c>
      <c r="G4" s="8" t="s">
        <v>2261</v>
      </c>
      <c r="H4" s="8" t="s">
        <v>57</v>
      </c>
      <c r="I4" s="8" t="s">
        <v>58</v>
      </c>
      <c r="J4" s="8" t="s">
        <v>59</v>
      </c>
      <c r="K4" s="8" t="s">
        <v>60</v>
      </c>
      <c r="L4" s="8" t="s">
        <v>61</v>
      </c>
      <c r="M4" s="8" t="s">
        <v>62</v>
      </c>
      <c r="N4" s="8" t="s">
        <v>63</v>
      </c>
      <c r="O4" s="8" t="s">
        <v>64</v>
      </c>
      <c r="P4" s="8" t="s">
        <v>65</v>
      </c>
      <c r="Q4" s="8" t="s">
        <v>66</v>
      </c>
      <c r="R4" s="8" t="s">
        <v>67</v>
      </c>
      <c r="S4" s="8" t="s">
        <v>68</v>
      </c>
      <c r="T4" s="8" t="s">
        <v>39</v>
      </c>
      <c r="U4" s="8" t="s">
        <v>39</v>
      </c>
      <c r="V4" s="8" t="s">
        <v>39</v>
      </c>
      <c r="W4" s="8" t="s">
        <v>39</v>
      </c>
      <c r="X4" s="8" t="s">
        <v>41</v>
      </c>
      <c r="Y4" s="8" t="s">
        <v>55</v>
      </c>
    </row>
    <row r="5" spans="1:25" ht="27.6">
      <c r="A5" s="8" t="s">
        <v>69</v>
      </c>
      <c r="B5" s="8" t="s">
        <v>2252</v>
      </c>
      <c r="C5" s="8">
        <v>1</v>
      </c>
      <c r="D5" s="8" t="s">
        <v>2256</v>
      </c>
      <c r="E5" s="8" t="s">
        <v>25</v>
      </c>
      <c r="F5" s="8" t="s">
        <v>2257</v>
      </c>
      <c r="G5" s="8" t="s">
        <v>2258</v>
      </c>
      <c r="H5" s="8" t="s">
        <v>71</v>
      </c>
      <c r="I5" s="8" t="s">
        <v>72</v>
      </c>
      <c r="J5" s="8" t="s">
        <v>73</v>
      </c>
      <c r="K5" s="8" t="s">
        <v>74</v>
      </c>
      <c r="L5" s="8" t="s">
        <v>75</v>
      </c>
      <c r="M5" s="8" t="s">
        <v>76</v>
      </c>
      <c r="N5" s="8" t="s">
        <v>77</v>
      </c>
      <c r="O5" s="8" t="s">
        <v>78</v>
      </c>
      <c r="P5" s="8" t="s">
        <v>65</v>
      </c>
      <c r="Q5" s="8" t="s">
        <v>52</v>
      </c>
      <c r="R5" s="8" t="s">
        <v>79</v>
      </c>
      <c r="S5" s="8" t="s">
        <v>80</v>
      </c>
      <c r="T5" s="8" t="s">
        <v>39</v>
      </c>
      <c r="U5" s="8" t="s">
        <v>39</v>
      </c>
      <c r="V5" s="8" t="s">
        <v>39</v>
      </c>
      <c r="W5" s="8" t="s">
        <v>39</v>
      </c>
      <c r="X5" s="8" t="s">
        <v>41</v>
      </c>
      <c r="Y5" s="8" t="s">
        <v>42</v>
      </c>
    </row>
    <row r="6" spans="1:25" ht="41.4">
      <c r="A6" s="8" t="s">
        <v>81</v>
      </c>
      <c r="B6" s="8" t="s">
        <v>2252</v>
      </c>
      <c r="C6" s="8">
        <v>1</v>
      </c>
      <c r="D6" s="8" t="s">
        <v>2256</v>
      </c>
      <c r="E6" s="8" t="s">
        <v>25</v>
      </c>
      <c r="F6" s="8" t="s">
        <v>2262</v>
      </c>
      <c r="G6" s="8" t="s">
        <v>2263</v>
      </c>
      <c r="H6" s="8" t="s">
        <v>83</v>
      </c>
      <c r="I6" s="8" t="s">
        <v>84</v>
      </c>
      <c r="J6" s="8" t="s">
        <v>85</v>
      </c>
      <c r="K6" s="8" t="s">
        <v>86</v>
      </c>
      <c r="L6" s="8" t="s">
        <v>87</v>
      </c>
      <c r="M6" s="8" t="s">
        <v>88</v>
      </c>
      <c r="N6" s="8" t="s">
        <v>89</v>
      </c>
      <c r="O6" s="8" t="s">
        <v>90</v>
      </c>
      <c r="P6" s="8" t="s">
        <v>65</v>
      </c>
      <c r="Q6" s="8" t="s">
        <v>91</v>
      </c>
      <c r="R6" s="8" t="s">
        <v>92</v>
      </c>
      <c r="S6" s="8" t="s">
        <v>93</v>
      </c>
      <c r="T6" s="8" t="s">
        <v>39</v>
      </c>
      <c r="U6" s="8" t="s">
        <v>39</v>
      </c>
      <c r="V6" s="8" t="s">
        <v>39</v>
      </c>
      <c r="W6" s="8" t="s">
        <v>39</v>
      </c>
      <c r="X6" s="8" t="s">
        <v>41</v>
      </c>
      <c r="Y6" s="8" t="s">
        <v>55</v>
      </c>
    </row>
    <row r="7" spans="1:25" ht="27.6">
      <c r="A7" s="8" t="s">
        <v>94</v>
      </c>
      <c r="B7" s="8" t="s">
        <v>2252</v>
      </c>
      <c r="C7" s="8">
        <v>1</v>
      </c>
      <c r="D7" s="8" t="s">
        <v>2256</v>
      </c>
      <c r="E7" s="8" t="s">
        <v>25</v>
      </c>
      <c r="F7" s="8" t="s">
        <v>2262</v>
      </c>
      <c r="G7" s="8" t="s">
        <v>2263</v>
      </c>
      <c r="H7" s="8" t="s">
        <v>95</v>
      </c>
      <c r="I7" s="8" t="s">
        <v>96</v>
      </c>
      <c r="J7" s="8" t="s">
        <v>97</v>
      </c>
      <c r="K7" s="8" t="s">
        <v>98</v>
      </c>
      <c r="L7" s="8" t="s">
        <v>99</v>
      </c>
      <c r="M7" s="8" t="s">
        <v>62</v>
      </c>
      <c r="N7" s="8" t="s">
        <v>100</v>
      </c>
      <c r="O7" s="8" t="s">
        <v>101</v>
      </c>
      <c r="P7" s="8" t="s">
        <v>65</v>
      </c>
      <c r="Q7" s="8" t="s">
        <v>102</v>
      </c>
      <c r="R7" s="8" t="s">
        <v>103</v>
      </c>
      <c r="S7" s="8" t="s">
        <v>104</v>
      </c>
      <c r="T7" s="8" t="s">
        <v>39</v>
      </c>
      <c r="U7" s="8" t="s">
        <v>39</v>
      </c>
      <c r="V7" s="8" t="s">
        <v>39</v>
      </c>
      <c r="W7" s="8" t="s">
        <v>39</v>
      </c>
      <c r="X7" s="8" t="s">
        <v>41</v>
      </c>
      <c r="Y7" s="8" t="s">
        <v>55</v>
      </c>
    </row>
    <row r="8" spans="1:25" ht="27.6">
      <c r="A8" s="8" t="s">
        <v>105</v>
      </c>
      <c r="B8" s="8" t="s">
        <v>2252</v>
      </c>
      <c r="C8" s="8">
        <v>1</v>
      </c>
      <c r="D8" s="8" t="s">
        <v>2256</v>
      </c>
      <c r="E8" s="8" t="s">
        <v>25</v>
      </c>
      <c r="F8" s="8" t="s">
        <v>2262</v>
      </c>
      <c r="G8" s="8" t="s">
        <v>2263</v>
      </c>
      <c r="H8" s="8" t="s">
        <v>106</v>
      </c>
      <c r="I8" s="8" t="s">
        <v>107</v>
      </c>
      <c r="J8" s="8" t="s">
        <v>48</v>
      </c>
      <c r="K8" s="8" t="s">
        <v>61</v>
      </c>
      <c r="L8" s="8" t="s">
        <v>73</v>
      </c>
      <c r="M8" s="8" t="s">
        <v>88</v>
      </c>
      <c r="N8" s="8" t="s">
        <v>108</v>
      </c>
      <c r="O8" s="8" t="s">
        <v>2264</v>
      </c>
      <c r="P8" s="8" t="s">
        <v>65</v>
      </c>
      <c r="Q8" s="8" t="s">
        <v>102</v>
      </c>
      <c r="R8" s="8" t="s">
        <v>110</v>
      </c>
      <c r="S8" s="8" t="s">
        <v>104</v>
      </c>
      <c r="T8" s="8" t="s">
        <v>39</v>
      </c>
      <c r="U8" s="8" t="s">
        <v>39</v>
      </c>
      <c r="V8" s="8" t="s">
        <v>39</v>
      </c>
      <c r="W8" s="8" t="s">
        <v>39</v>
      </c>
      <c r="X8" s="8" t="s">
        <v>41</v>
      </c>
      <c r="Y8" s="8" t="s">
        <v>111</v>
      </c>
    </row>
    <row r="9" spans="1:25" ht="41.4">
      <c r="A9" s="8" t="s">
        <v>112</v>
      </c>
      <c r="B9" s="8" t="s">
        <v>2252</v>
      </c>
      <c r="C9" s="8">
        <v>1</v>
      </c>
      <c r="D9" s="8" t="s">
        <v>2256</v>
      </c>
      <c r="E9" s="8" t="s">
        <v>25</v>
      </c>
      <c r="F9" s="8" t="s">
        <v>2265</v>
      </c>
      <c r="G9" s="8" t="s">
        <v>2266</v>
      </c>
      <c r="H9" s="8" t="s">
        <v>114</v>
      </c>
      <c r="I9" s="8" t="s">
        <v>115</v>
      </c>
      <c r="J9" s="8" t="s">
        <v>116</v>
      </c>
      <c r="K9" s="8" t="s">
        <v>117</v>
      </c>
      <c r="L9" s="8" t="s">
        <v>118</v>
      </c>
      <c r="M9" s="8" t="s">
        <v>62</v>
      </c>
      <c r="N9" s="8" t="s">
        <v>119</v>
      </c>
      <c r="O9" s="8" t="s">
        <v>120</v>
      </c>
      <c r="P9" s="8" t="s">
        <v>65</v>
      </c>
      <c r="Q9" s="8" t="s">
        <v>121</v>
      </c>
      <c r="R9" s="8" t="s">
        <v>122</v>
      </c>
      <c r="S9" s="8" t="s">
        <v>123</v>
      </c>
      <c r="T9" s="8" t="s">
        <v>39</v>
      </c>
      <c r="U9" s="8" t="s">
        <v>39</v>
      </c>
      <c r="V9" s="8" t="s">
        <v>39</v>
      </c>
      <c r="W9" s="8" t="s">
        <v>39</v>
      </c>
      <c r="X9" s="8" t="s">
        <v>41</v>
      </c>
      <c r="Y9" s="8" t="s">
        <v>42</v>
      </c>
    </row>
    <row r="10" spans="1:25" ht="41.4">
      <c r="A10" s="8" t="s">
        <v>124</v>
      </c>
      <c r="B10" s="8" t="s">
        <v>2252</v>
      </c>
      <c r="C10" s="8">
        <v>1</v>
      </c>
      <c r="D10" s="8" t="s">
        <v>2256</v>
      </c>
      <c r="E10" s="8" t="s">
        <v>25</v>
      </c>
      <c r="F10" s="8" t="s">
        <v>2265</v>
      </c>
      <c r="G10" s="8" t="s">
        <v>2266</v>
      </c>
      <c r="H10" s="8" t="s">
        <v>125</v>
      </c>
      <c r="I10" s="8" t="s">
        <v>126</v>
      </c>
      <c r="J10" s="8" t="s">
        <v>127</v>
      </c>
      <c r="K10" s="8" t="s">
        <v>128</v>
      </c>
      <c r="L10" s="8" t="s">
        <v>129</v>
      </c>
      <c r="M10" s="8" t="s">
        <v>88</v>
      </c>
      <c r="N10" s="8" t="s">
        <v>130</v>
      </c>
      <c r="O10" s="8" t="s">
        <v>120</v>
      </c>
      <c r="P10" s="8" t="s">
        <v>65</v>
      </c>
      <c r="Q10" s="8" t="s">
        <v>131</v>
      </c>
      <c r="R10" s="8" t="s">
        <v>122</v>
      </c>
      <c r="S10" s="8" t="s">
        <v>132</v>
      </c>
      <c r="T10" s="8" t="s">
        <v>39</v>
      </c>
      <c r="U10" s="8" t="s">
        <v>39</v>
      </c>
      <c r="V10" s="8" t="s">
        <v>39</v>
      </c>
      <c r="W10" s="8" t="s">
        <v>39</v>
      </c>
      <c r="X10" s="8" t="s">
        <v>41</v>
      </c>
      <c r="Y10" s="8" t="s">
        <v>42</v>
      </c>
    </row>
    <row r="11" spans="1:25" ht="41.4">
      <c r="A11" s="8" t="s">
        <v>133</v>
      </c>
      <c r="B11" s="8" t="s">
        <v>2252</v>
      </c>
      <c r="C11" s="8">
        <v>5</v>
      </c>
      <c r="D11" s="8" t="s">
        <v>2259</v>
      </c>
      <c r="E11" s="8" t="s">
        <v>1816</v>
      </c>
      <c r="F11" s="8" t="s">
        <v>2267</v>
      </c>
      <c r="G11" s="8" t="s">
        <v>2268</v>
      </c>
      <c r="H11" s="8" t="s">
        <v>134</v>
      </c>
      <c r="I11" s="8" t="s">
        <v>135</v>
      </c>
      <c r="J11" s="8" t="s">
        <v>136</v>
      </c>
      <c r="K11" s="8" t="s">
        <v>137</v>
      </c>
      <c r="L11" s="8" t="s">
        <v>138</v>
      </c>
      <c r="M11" s="8" t="s">
        <v>62</v>
      </c>
      <c r="N11" s="8" t="s">
        <v>139</v>
      </c>
      <c r="O11" s="8" t="s">
        <v>2269</v>
      </c>
      <c r="P11" s="8" t="s">
        <v>65</v>
      </c>
      <c r="Q11" s="8" t="s">
        <v>141</v>
      </c>
      <c r="R11" s="8" t="s">
        <v>142</v>
      </c>
      <c r="S11" s="8" t="s">
        <v>143</v>
      </c>
      <c r="T11" s="8" t="s">
        <v>39</v>
      </c>
      <c r="U11" s="8" t="s">
        <v>39</v>
      </c>
      <c r="V11" s="8" t="s">
        <v>39</v>
      </c>
      <c r="W11" s="8" t="s">
        <v>39</v>
      </c>
      <c r="X11" s="8" t="s">
        <v>41</v>
      </c>
      <c r="Y11" s="8" t="s">
        <v>55</v>
      </c>
    </row>
    <row r="12" spans="1:25" ht="41.4">
      <c r="A12" s="8" t="s">
        <v>144</v>
      </c>
      <c r="B12" s="8" t="s">
        <v>2252</v>
      </c>
      <c r="C12" s="8">
        <v>1</v>
      </c>
      <c r="D12" s="8" t="s">
        <v>2256</v>
      </c>
      <c r="E12" s="8" t="s">
        <v>25</v>
      </c>
      <c r="F12" s="8" t="s">
        <v>2270</v>
      </c>
      <c r="G12" s="8" t="s">
        <v>2271</v>
      </c>
      <c r="H12" s="8" t="s">
        <v>145</v>
      </c>
      <c r="I12" s="8" t="s">
        <v>146</v>
      </c>
      <c r="J12" s="8" t="s">
        <v>147</v>
      </c>
      <c r="K12" s="8" t="s">
        <v>148</v>
      </c>
      <c r="L12" s="8" t="s">
        <v>149</v>
      </c>
      <c r="M12" s="8" t="s">
        <v>32</v>
      </c>
      <c r="N12" s="8" t="s">
        <v>150</v>
      </c>
      <c r="O12" s="8" t="s">
        <v>151</v>
      </c>
      <c r="P12" s="8" t="s">
        <v>65</v>
      </c>
      <c r="Q12" s="8" t="s">
        <v>102</v>
      </c>
      <c r="R12" s="8" t="s">
        <v>152</v>
      </c>
      <c r="S12" s="8" t="s">
        <v>153</v>
      </c>
      <c r="T12" s="8" t="s">
        <v>39</v>
      </c>
      <c r="U12" s="8" t="s">
        <v>39</v>
      </c>
      <c r="V12" s="8" t="s">
        <v>39</v>
      </c>
      <c r="W12" s="8" t="s">
        <v>39</v>
      </c>
      <c r="X12" s="8" t="s">
        <v>41</v>
      </c>
      <c r="Y12" s="8" t="s">
        <v>55</v>
      </c>
    </row>
    <row r="13" spans="1:25" ht="27.6">
      <c r="A13" s="8" t="s">
        <v>154</v>
      </c>
      <c r="B13" s="8" t="s">
        <v>2252</v>
      </c>
      <c r="C13" s="8">
        <v>1</v>
      </c>
      <c r="D13" s="8" t="s">
        <v>2256</v>
      </c>
      <c r="E13" s="8" t="s">
        <v>25</v>
      </c>
      <c r="F13" s="8" t="s">
        <v>2257</v>
      </c>
      <c r="G13" s="8" t="s">
        <v>2258</v>
      </c>
      <c r="H13" s="8" t="s">
        <v>155</v>
      </c>
      <c r="I13" s="8" t="s">
        <v>156</v>
      </c>
      <c r="J13" s="8" t="s">
        <v>157</v>
      </c>
      <c r="K13" s="8" t="s">
        <v>158</v>
      </c>
      <c r="L13" s="8" t="s">
        <v>159</v>
      </c>
      <c r="M13" s="8" t="s">
        <v>76</v>
      </c>
      <c r="N13" s="8" t="s">
        <v>160</v>
      </c>
      <c r="O13" s="8" t="s">
        <v>161</v>
      </c>
      <c r="P13" s="8" t="s">
        <v>35</v>
      </c>
      <c r="Q13" s="8" t="s">
        <v>162</v>
      </c>
      <c r="R13" s="8" t="s">
        <v>163</v>
      </c>
      <c r="S13" s="8" t="s">
        <v>164</v>
      </c>
      <c r="T13" s="8" t="s">
        <v>39</v>
      </c>
      <c r="U13" s="8" t="s">
        <v>39</v>
      </c>
      <c r="V13" s="8" t="s">
        <v>39</v>
      </c>
      <c r="W13" s="8" t="s">
        <v>39</v>
      </c>
      <c r="X13" s="8" t="s">
        <v>41</v>
      </c>
      <c r="Y13" s="8" t="s">
        <v>42</v>
      </c>
    </row>
    <row r="14" spans="1:25" ht="41.4">
      <c r="A14" s="8" t="s">
        <v>165</v>
      </c>
      <c r="B14" s="8" t="s">
        <v>2252</v>
      </c>
      <c r="C14" s="8">
        <v>3</v>
      </c>
      <c r="D14" s="8" t="s">
        <v>2253</v>
      </c>
      <c r="E14" s="8" t="s">
        <v>950</v>
      </c>
      <c r="F14" s="8" t="s">
        <v>2254</v>
      </c>
      <c r="G14" s="8" t="s">
        <v>2255</v>
      </c>
      <c r="H14" s="8" t="s">
        <v>166</v>
      </c>
      <c r="I14" s="8" t="s">
        <v>167</v>
      </c>
      <c r="J14" s="8" t="s">
        <v>168</v>
      </c>
      <c r="K14" s="8" t="s">
        <v>169</v>
      </c>
      <c r="L14" s="8" t="s">
        <v>170</v>
      </c>
      <c r="M14" s="8" t="s">
        <v>62</v>
      </c>
      <c r="N14" s="8" t="s">
        <v>171</v>
      </c>
      <c r="O14" s="8" t="s">
        <v>172</v>
      </c>
      <c r="P14" s="8" t="s">
        <v>65</v>
      </c>
      <c r="Q14" s="8" t="s">
        <v>173</v>
      </c>
      <c r="R14" s="8" t="s">
        <v>174</v>
      </c>
      <c r="S14" s="8" t="s">
        <v>175</v>
      </c>
      <c r="T14" s="8" t="s">
        <v>39</v>
      </c>
      <c r="U14" s="8" t="s">
        <v>39</v>
      </c>
      <c r="V14" s="8" t="s">
        <v>39</v>
      </c>
      <c r="W14" s="8" t="s">
        <v>39</v>
      </c>
      <c r="X14" s="8" t="s">
        <v>41</v>
      </c>
      <c r="Y14" s="8" t="s">
        <v>42</v>
      </c>
    </row>
    <row r="15" spans="1:25" ht="41.4">
      <c r="A15" s="8" t="s">
        <v>176</v>
      </c>
      <c r="B15" s="8" t="s">
        <v>2252</v>
      </c>
      <c r="C15" s="8">
        <v>1</v>
      </c>
      <c r="D15" s="8" t="s">
        <v>2256</v>
      </c>
      <c r="E15" s="8" t="s">
        <v>25</v>
      </c>
      <c r="F15" s="8" t="s">
        <v>2262</v>
      </c>
      <c r="G15" s="8" t="s">
        <v>2263</v>
      </c>
      <c r="H15" s="8" t="s">
        <v>177</v>
      </c>
      <c r="I15" s="8" t="s">
        <v>135</v>
      </c>
      <c r="J15" s="8" t="s">
        <v>178</v>
      </c>
      <c r="K15" s="8" t="s">
        <v>138</v>
      </c>
      <c r="L15" s="8" t="s">
        <v>137</v>
      </c>
      <c r="M15" s="8" t="s">
        <v>32</v>
      </c>
      <c r="N15" s="8" t="s">
        <v>179</v>
      </c>
      <c r="O15" s="8" t="s">
        <v>180</v>
      </c>
      <c r="P15" s="8" t="s">
        <v>65</v>
      </c>
      <c r="Q15" s="8" t="s">
        <v>102</v>
      </c>
      <c r="R15" s="8" t="s">
        <v>181</v>
      </c>
      <c r="S15" s="8" t="s">
        <v>182</v>
      </c>
      <c r="T15" s="8" t="s">
        <v>39</v>
      </c>
      <c r="U15" s="8" t="s">
        <v>39</v>
      </c>
      <c r="V15" s="8" t="s">
        <v>39</v>
      </c>
      <c r="W15" s="8" t="s">
        <v>39</v>
      </c>
      <c r="X15" s="8" t="s">
        <v>41</v>
      </c>
      <c r="Y15" s="8" t="s">
        <v>55</v>
      </c>
    </row>
    <row r="16" spans="1:25" ht="41.4">
      <c r="A16" s="8" t="s">
        <v>183</v>
      </c>
      <c r="B16" s="8" t="s">
        <v>2252</v>
      </c>
      <c r="C16" s="8">
        <v>1</v>
      </c>
      <c r="D16" s="8" t="s">
        <v>2256</v>
      </c>
      <c r="E16" s="8" t="s">
        <v>25</v>
      </c>
      <c r="F16" s="8" t="s">
        <v>2257</v>
      </c>
      <c r="G16" s="8" t="s">
        <v>2258</v>
      </c>
      <c r="H16" s="8" t="s">
        <v>184</v>
      </c>
      <c r="I16" s="8" t="s">
        <v>185</v>
      </c>
      <c r="J16" s="8" t="s">
        <v>186</v>
      </c>
      <c r="K16" s="8" t="s">
        <v>187</v>
      </c>
      <c r="L16" s="8" t="s">
        <v>188</v>
      </c>
      <c r="M16" s="8" t="s">
        <v>32</v>
      </c>
      <c r="N16" s="8" t="s">
        <v>189</v>
      </c>
      <c r="O16" s="8" t="s">
        <v>190</v>
      </c>
      <c r="P16" s="8" t="s">
        <v>191</v>
      </c>
      <c r="Q16" s="8" t="s">
        <v>192</v>
      </c>
      <c r="R16" s="8" t="s">
        <v>193</v>
      </c>
      <c r="S16" s="8" t="s">
        <v>194</v>
      </c>
      <c r="T16" s="8" t="s">
        <v>39</v>
      </c>
      <c r="U16" s="8" t="s">
        <v>39</v>
      </c>
      <c r="V16" s="8" t="s">
        <v>39</v>
      </c>
      <c r="W16" s="8" t="s">
        <v>39</v>
      </c>
      <c r="X16" s="8" t="s">
        <v>41</v>
      </c>
      <c r="Y16" s="8" t="s">
        <v>55</v>
      </c>
    </row>
    <row r="17" spans="1:25" ht="41.4">
      <c r="A17" s="8" t="s">
        <v>195</v>
      </c>
      <c r="B17" s="8" t="s">
        <v>2252</v>
      </c>
      <c r="C17" s="8">
        <v>1</v>
      </c>
      <c r="D17" s="8" t="s">
        <v>2256</v>
      </c>
      <c r="E17" s="8" t="s">
        <v>25</v>
      </c>
      <c r="F17" s="8" t="s">
        <v>2262</v>
      </c>
      <c r="G17" s="8" t="s">
        <v>2263</v>
      </c>
      <c r="H17" s="8" t="s">
        <v>196</v>
      </c>
      <c r="I17" s="8" t="s">
        <v>197</v>
      </c>
      <c r="J17" s="8" t="s">
        <v>198</v>
      </c>
      <c r="K17" s="8" t="s">
        <v>199</v>
      </c>
      <c r="L17" s="8" t="s">
        <v>200</v>
      </c>
      <c r="M17" s="8" t="s">
        <v>76</v>
      </c>
      <c r="N17" s="8" t="s">
        <v>201</v>
      </c>
      <c r="O17" s="8" t="s">
        <v>2272</v>
      </c>
      <c r="P17" s="8" t="s">
        <v>191</v>
      </c>
      <c r="Q17" s="8" t="s">
        <v>102</v>
      </c>
      <c r="R17" s="8" t="s">
        <v>203</v>
      </c>
      <c r="S17" s="8" t="s">
        <v>204</v>
      </c>
      <c r="T17" s="8" t="s">
        <v>39</v>
      </c>
      <c r="U17" s="8" t="s">
        <v>39</v>
      </c>
      <c r="V17" s="8" t="s">
        <v>39</v>
      </c>
      <c r="W17" s="8" t="s">
        <v>39</v>
      </c>
      <c r="X17" s="8" t="s">
        <v>41</v>
      </c>
      <c r="Y17" s="8" t="s">
        <v>55</v>
      </c>
    </row>
    <row r="18" spans="1:25" ht="41.4">
      <c r="A18" s="8" t="s">
        <v>205</v>
      </c>
      <c r="B18" s="8" t="s">
        <v>2252</v>
      </c>
      <c r="C18" s="8">
        <v>3</v>
      </c>
      <c r="D18" s="8" t="s">
        <v>2253</v>
      </c>
      <c r="E18" s="8" t="s">
        <v>950</v>
      </c>
      <c r="F18" s="8" t="s">
        <v>2254</v>
      </c>
      <c r="G18" s="8" t="s">
        <v>2255</v>
      </c>
      <c r="H18" s="8" t="s">
        <v>206</v>
      </c>
      <c r="I18" s="8" t="s">
        <v>207</v>
      </c>
      <c r="J18" s="8" t="s">
        <v>208</v>
      </c>
      <c r="K18" s="8" t="s">
        <v>209</v>
      </c>
      <c r="L18" s="8" t="s">
        <v>210</v>
      </c>
      <c r="M18" s="8" t="s">
        <v>32</v>
      </c>
      <c r="N18" s="8" t="s">
        <v>211</v>
      </c>
      <c r="O18" s="8" t="s">
        <v>212</v>
      </c>
      <c r="P18" s="8" t="s">
        <v>191</v>
      </c>
      <c r="Q18" s="8" t="s">
        <v>213</v>
      </c>
      <c r="R18" s="8" t="s">
        <v>214</v>
      </c>
      <c r="S18" s="8" t="s">
        <v>215</v>
      </c>
      <c r="T18" s="8" t="s">
        <v>39</v>
      </c>
      <c r="U18" s="8" t="s">
        <v>39</v>
      </c>
      <c r="V18" s="8" t="s">
        <v>39</v>
      </c>
      <c r="W18" s="8" t="s">
        <v>39</v>
      </c>
      <c r="X18" s="8" t="s">
        <v>41</v>
      </c>
      <c r="Y18" s="8" t="s">
        <v>55</v>
      </c>
    </row>
    <row r="19" spans="1:25" ht="41.4">
      <c r="A19" s="8" t="s">
        <v>216</v>
      </c>
      <c r="B19" s="8" t="s">
        <v>2252</v>
      </c>
      <c r="C19" s="8">
        <v>1</v>
      </c>
      <c r="D19" s="8" t="s">
        <v>2256</v>
      </c>
      <c r="E19" s="8" t="s">
        <v>25</v>
      </c>
      <c r="F19" s="8" t="s">
        <v>2257</v>
      </c>
      <c r="G19" s="8" t="s">
        <v>2258</v>
      </c>
      <c r="H19" s="8" t="s">
        <v>217</v>
      </c>
      <c r="I19" s="8" t="s">
        <v>218</v>
      </c>
      <c r="J19" s="8" t="s">
        <v>219</v>
      </c>
      <c r="K19" s="8" t="s">
        <v>220</v>
      </c>
      <c r="L19" s="8" t="s">
        <v>221</v>
      </c>
      <c r="M19" s="8" t="s">
        <v>76</v>
      </c>
      <c r="N19" s="8" t="s">
        <v>222</v>
      </c>
      <c r="O19" s="8" t="s">
        <v>223</v>
      </c>
      <c r="P19" s="8" t="s">
        <v>191</v>
      </c>
      <c r="Q19" s="8" t="s">
        <v>224</v>
      </c>
      <c r="R19" s="8" t="s">
        <v>225</v>
      </c>
      <c r="S19" s="8" t="s">
        <v>226</v>
      </c>
      <c r="T19" s="8" t="s">
        <v>39</v>
      </c>
      <c r="U19" s="8" t="s">
        <v>39</v>
      </c>
      <c r="V19" s="8" t="s">
        <v>39</v>
      </c>
      <c r="W19" s="8" t="s">
        <v>39</v>
      </c>
      <c r="X19" s="8" t="s">
        <v>41</v>
      </c>
      <c r="Y19" s="8" t="s">
        <v>55</v>
      </c>
    </row>
    <row r="20" spans="1:25" ht="41.4">
      <c r="A20" s="8" t="s">
        <v>227</v>
      </c>
      <c r="B20" s="8" t="s">
        <v>2252</v>
      </c>
      <c r="C20" s="8">
        <v>1</v>
      </c>
      <c r="D20" s="8" t="s">
        <v>2256</v>
      </c>
      <c r="E20" s="8" t="s">
        <v>25</v>
      </c>
      <c r="F20" s="8" t="s">
        <v>2262</v>
      </c>
      <c r="G20" s="8" t="s">
        <v>2263</v>
      </c>
      <c r="H20" s="8" t="s">
        <v>228</v>
      </c>
      <c r="I20" s="8" t="s">
        <v>229</v>
      </c>
      <c r="J20" s="8" t="s">
        <v>230</v>
      </c>
      <c r="K20" s="8" t="s">
        <v>231</v>
      </c>
      <c r="L20" s="8" t="s">
        <v>232</v>
      </c>
      <c r="M20" s="8" t="s">
        <v>88</v>
      </c>
      <c r="N20" s="8" t="s">
        <v>233</v>
      </c>
      <c r="O20" s="8" t="s">
        <v>234</v>
      </c>
      <c r="P20" s="8" t="s">
        <v>191</v>
      </c>
      <c r="Q20" s="8" t="s">
        <v>102</v>
      </c>
      <c r="R20" s="8" t="s">
        <v>235</v>
      </c>
      <c r="S20" s="8" t="s">
        <v>104</v>
      </c>
      <c r="T20" s="8" t="s">
        <v>39</v>
      </c>
      <c r="U20" s="8" t="s">
        <v>39</v>
      </c>
      <c r="V20" s="8" t="s">
        <v>39</v>
      </c>
      <c r="W20" s="8" t="s">
        <v>39</v>
      </c>
      <c r="X20" s="8" t="s">
        <v>41</v>
      </c>
      <c r="Y20" s="8" t="s">
        <v>55</v>
      </c>
    </row>
    <row r="21" spans="1:25" ht="41.4">
      <c r="A21" s="8" t="s">
        <v>236</v>
      </c>
      <c r="B21" s="8" t="s">
        <v>2252</v>
      </c>
      <c r="C21" s="8">
        <v>1</v>
      </c>
      <c r="D21" s="8" t="s">
        <v>2256</v>
      </c>
      <c r="E21" s="8" t="s">
        <v>25</v>
      </c>
      <c r="F21" s="8" t="s">
        <v>2262</v>
      </c>
      <c r="G21" s="8" t="s">
        <v>2263</v>
      </c>
      <c r="H21" s="8" t="s">
        <v>237</v>
      </c>
      <c r="I21" s="8" t="s">
        <v>238</v>
      </c>
      <c r="J21" s="8" t="s">
        <v>239</v>
      </c>
      <c r="K21" s="8" t="s">
        <v>240</v>
      </c>
      <c r="L21" s="8" t="s">
        <v>241</v>
      </c>
      <c r="M21" s="8" t="s">
        <v>62</v>
      </c>
      <c r="N21" s="8" t="s">
        <v>242</v>
      </c>
      <c r="O21" s="8" t="s">
        <v>2273</v>
      </c>
      <c r="P21" s="8" t="s">
        <v>191</v>
      </c>
      <c r="Q21" s="8" t="s">
        <v>102</v>
      </c>
      <c r="R21" s="8" t="s">
        <v>244</v>
      </c>
      <c r="S21" s="8" t="s">
        <v>204</v>
      </c>
      <c r="T21" s="8" t="s">
        <v>39</v>
      </c>
      <c r="U21" s="8" t="s">
        <v>39</v>
      </c>
      <c r="V21" s="8" t="s">
        <v>39</v>
      </c>
      <c r="W21" s="8" t="s">
        <v>39</v>
      </c>
      <c r="X21" s="8" t="s">
        <v>41</v>
      </c>
      <c r="Y21" s="8" t="s">
        <v>42</v>
      </c>
    </row>
    <row r="22" spans="1:25" ht="41.4">
      <c r="A22" s="8" t="s">
        <v>245</v>
      </c>
      <c r="B22" s="8" t="s">
        <v>2252</v>
      </c>
      <c r="C22" s="8">
        <v>1</v>
      </c>
      <c r="D22" s="8" t="s">
        <v>2256</v>
      </c>
      <c r="E22" s="8" t="s">
        <v>25</v>
      </c>
      <c r="F22" s="8" t="s">
        <v>2257</v>
      </c>
      <c r="G22" s="8" t="s">
        <v>2258</v>
      </c>
      <c r="H22" s="8" t="s">
        <v>246</v>
      </c>
      <c r="I22" s="8" t="s">
        <v>247</v>
      </c>
      <c r="J22" s="8" t="s">
        <v>248</v>
      </c>
      <c r="K22" s="8" t="s">
        <v>249</v>
      </c>
      <c r="L22" s="8" t="s">
        <v>250</v>
      </c>
      <c r="M22" s="8" t="s">
        <v>62</v>
      </c>
      <c r="N22" s="8" t="s">
        <v>251</v>
      </c>
      <c r="O22" s="8" t="s">
        <v>252</v>
      </c>
      <c r="P22" s="8" t="s">
        <v>191</v>
      </c>
      <c r="Q22" s="8" t="s">
        <v>192</v>
      </c>
      <c r="R22" s="8" t="s">
        <v>253</v>
      </c>
      <c r="S22" s="8" t="s">
        <v>254</v>
      </c>
      <c r="T22" s="8" t="s">
        <v>39</v>
      </c>
      <c r="U22" s="8" t="s">
        <v>39</v>
      </c>
      <c r="V22" s="8" t="s">
        <v>39</v>
      </c>
      <c r="W22" s="8" t="s">
        <v>39</v>
      </c>
      <c r="X22" s="8" t="s">
        <v>41</v>
      </c>
      <c r="Y22" s="8" t="s">
        <v>55</v>
      </c>
    </row>
    <row r="23" spans="1:25" ht="41.4">
      <c r="A23" s="8" t="s">
        <v>255</v>
      </c>
      <c r="B23" s="8" t="s">
        <v>2252</v>
      </c>
      <c r="C23" s="8">
        <v>1</v>
      </c>
      <c r="D23" s="8" t="s">
        <v>2256</v>
      </c>
      <c r="E23" s="8" t="s">
        <v>25</v>
      </c>
      <c r="F23" s="8" t="s">
        <v>2270</v>
      </c>
      <c r="G23" s="8" t="s">
        <v>2271</v>
      </c>
      <c r="H23" s="8" t="s">
        <v>256</v>
      </c>
      <c r="I23" s="8" t="s">
        <v>257</v>
      </c>
      <c r="J23" s="8" t="s">
        <v>258</v>
      </c>
      <c r="K23" s="8" t="s">
        <v>259</v>
      </c>
      <c r="L23" s="8" t="s">
        <v>260</v>
      </c>
      <c r="M23" s="8" t="s">
        <v>88</v>
      </c>
      <c r="N23" s="8" t="s">
        <v>261</v>
      </c>
      <c r="O23" s="8" t="s">
        <v>2274</v>
      </c>
      <c r="P23" s="8" t="s">
        <v>191</v>
      </c>
      <c r="Q23" s="8" t="s">
        <v>224</v>
      </c>
      <c r="R23" s="8" t="s">
        <v>263</v>
      </c>
      <c r="S23" s="8" t="s">
        <v>264</v>
      </c>
      <c r="T23" s="8" t="s">
        <v>39</v>
      </c>
      <c r="U23" s="8" t="s">
        <v>39</v>
      </c>
      <c r="V23" s="8" t="s">
        <v>39</v>
      </c>
      <c r="W23" s="8" t="s">
        <v>39</v>
      </c>
      <c r="X23" s="8" t="s">
        <v>41</v>
      </c>
      <c r="Y23" s="8" t="s">
        <v>55</v>
      </c>
    </row>
    <row r="24" spans="1:25" ht="27.6">
      <c r="A24" s="8" t="s">
        <v>265</v>
      </c>
      <c r="B24" s="8" t="s">
        <v>2252</v>
      </c>
      <c r="C24" s="8">
        <v>1</v>
      </c>
      <c r="D24" s="8" t="s">
        <v>2256</v>
      </c>
      <c r="E24" s="8" t="s">
        <v>25</v>
      </c>
      <c r="F24" s="8" t="s">
        <v>2275</v>
      </c>
      <c r="G24" s="8" t="s">
        <v>2276</v>
      </c>
      <c r="H24" s="8" t="s">
        <v>267</v>
      </c>
      <c r="I24" s="8" t="s">
        <v>268</v>
      </c>
      <c r="J24" s="8" t="s">
        <v>269</v>
      </c>
      <c r="K24" s="8" t="s">
        <v>270</v>
      </c>
      <c r="L24" s="8" t="s">
        <v>271</v>
      </c>
      <c r="M24" s="8" t="s">
        <v>76</v>
      </c>
      <c r="N24" s="8" t="s">
        <v>272</v>
      </c>
      <c r="O24" s="8" t="s">
        <v>273</v>
      </c>
      <c r="P24" s="8" t="s">
        <v>35</v>
      </c>
      <c r="Q24" s="8" t="s">
        <v>274</v>
      </c>
      <c r="R24" s="8" t="s">
        <v>275</v>
      </c>
      <c r="S24" s="8" t="s">
        <v>276</v>
      </c>
      <c r="T24" s="8" t="s">
        <v>39</v>
      </c>
      <c r="U24" s="8" t="s">
        <v>39</v>
      </c>
      <c r="V24" s="8" t="s">
        <v>39</v>
      </c>
      <c r="W24" s="8" t="s">
        <v>39</v>
      </c>
      <c r="X24" s="8" t="s">
        <v>41</v>
      </c>
      <c r="Y24" s="8" t="s">
        <v>55</v>
      </c>
    </row>
    <row r="25" spans="1:25" ht="41.4">
      <c r="A25" s="8" t="s">
        <v>277</v>
      </c>
      <c r="B25" s="8" t="s">
        <v>2252</v>
      </c>
      <c r="C25" s="8">
        <v>1</v>
      </c>
      <c r="D25" s="8" t="s">
        <v>2256</v>
      </c>
      <c r="E25" s="8" t="s">
        <v>25</v>
      </c>
      <c r="F25" s="8" t="s">
        <v>2262</v>
      </c>
      <c r="G25" s="8" t="s">
        <v>2263</v>
      </c>
      <c r="H25" s="8" t="s">
        <v>278</v>
      </c>
      <c r="I25" s="8" t="s">
        <v>2277</v>
      </c>
      <c r="J25" s="8" t="s">
        <v>280</v>
      </c>
      <c r="K25" s="8" t="s">
        <v>281</v>
      </c>
      <c r="L25" s="8" t="s">
        <v>2278</v>
      </c>
      <c r="M25" s="8" t="s">
        <v>62</v>
      </c>
      <c r="N25" s="8" t="s">
        <v>283</v>
      </c>
      <c r="O25" s="8" t="s">
        <v>284</v>
      </c>
      <c r="P25" s="8" t="s">
        <v>191</v>
      </c>
      <c r="Q25" s="8" t="s">
        <v>102</v>
      </c>
      <c r="R25" s="8" t="s">
        <v>285</v>
      </c>
      <c r="S25" s="8" t="s">
        <v>93</v>
      </c>
      <c r="T25" s="8" t="s">
        <v>39</v>
      </c>
      <c r="U25" s="8" t="s">
        <v>39</v>
      </c>
      <c r="V25" s="8" t="s">
        <v>39</v>
      </c>
      <c r="W25" s="8" t="s">
        <v>39</v>
      </c>
      <c r="X25" s="8" t="s">
        <v>41</v>
      </c>
      <c r="Y25" s="8" t="s">
        <v>55</v>
      </c>
    </row>
    <row r="26" spans="1:25" ht="41.4">
      <c r="A26" s="8" t="s">
        <v>286</v>
      </c>
      <c r="B26" s="8" t="s">
        <v>2252</v>
      </c>
      <c r="C26" s="8">
        <v>1</v>
      </c>
      <c r="D26" s="8" t="s">
        <v>2256</v>
      </c>
      <c r="E26" s="8" t="s">
        <v>25</v>
      </c>
      <c r="F26" s="8" t="s">
        <v>2257</v>
      </c>
      <c r="G26" s="8" t="s">
        <v>2258</v>
      </c>
      <c r="H26" s="8" t="s">
        <v>287</v>
      </c>
      <c r="I26" s="8" t="s">
        <v>288</v>
      </c>
      <c r="J26" s="8" t="s">
        <v>138</v>
      </c>
      <c r="K26" s="8" t="s">
        <v>289</v>
      </c>
      <c r="L26" s="8" t="s">
        <v>290</v>
      </c>
      <c r="M26" s="8" t="s">
        <v>76</v>
      </c>
      <c r="N26" s="8" t="s">
        <v>291</v>
      </c>
      <c r="O26" s="8" t="s">
        <v>292</v>
      </c>
      <c r="P26" s="8" t="s">
        <v>191</v>
      </c>
      <c r="Q26" s="8" t="s">
        <v>293</v>
      </c>
      <c r="R26" s="8" t="s">
        <v>294</v>
      </c>
      <c r="S26" s="8" t="s">
        <v>295</v>
      </c>
      <c r="T26" s="8" t="s">
        <v>39</v>
      </c>
      <c r="U26" s="8" t="s">
        <v>39</v>
      </c>
      <c r="V26" s="8" t="s">
        <v>39</v>
      </c>
      <c r="W26" s="8" t="s">
        <v>39</v>
      </c>
      <c r="X26" s="8" t="s">
        <v>41</v>
      </c>
      <c r="Y26" s="8" t="s">
        <v>55</v>
      </c>
    </row>
    <row r="27" spans="1:25" ht="41.4">
      <c r="A27" s="8" t="s">
        <v>296</v>
      </c>
      <c r="B27" s="8" t="s">
        <v>2252</v>
      </c>
      <c r="C27" s="8">
        <v>1</v>
      </c>
      <c r="D27" s="8" t="s">
        <v>2256</v>
      </c>
      <c r="E27" s="8" t="s">
        <v>25</v>
      </c>
      <c r="F27" s="8" t="s">
        <v>2265</v>
      </c>
      <c r="G27" s="8" t="s">
        <v>2266</v>
      </c>
      <c r="H27" s="8" t="s">
        <v>297</v>
      </c>
      <c r="I27" s="8" t="s">
        <v>298</v>
      </c>
      <c r="J27" s="8" t="s">
        <v>299</v>
      </c>
      <c r="K27" s="8" t="s">
        <v>300</v>
      </c>
      <c r="L27" s="8" t="s">
        <v>301</v>
      </c>
      <c r="M27" s="8" t="s">
        <v>32</v>
      </c>
      <c r="N27" s="8" t="s">
        <v>302</v>
      </c>
      <c r="O27" s="8" t="s">
        <v>303</v>
      </c>
      <c r="P27" s="8" t="s">
        <v>191</v>
      </c>
      <c r="Q27" s="8" t="s">
        <v>304</v>
      </c>
      <c r="R27" s="8" t="s">
        <v>305</v>
      </c>
      <c r="S27" s="8" t="s">
        <v>306</v>
      </c>
      <c r="T27" s="8" t="s">
        <v>39</v>
      </c>
      <c r="U27" s="8" t="s">
        <v>39</v>
      </c>
      <c r="V27" s="8" t="s">
        <v>39</v>
      </c>
      <c r="W27" s="8" t="s">
        <v>39</v>
      </c>
      <c r="X27" s="8" t="s">
        <v>41</v>
      </c>
      <c r="Y27" s="8" t="s">
        <v>55</v>
      </c>
    </row>
    <row r="28" spans="1:25" ht="41.4">
      <c r="A28" s="8" t="s">
        <v>307</v>
      </c>
      <c r="B28" s="8" t="s">
        <v>2252</v>
      </c>
      <c r="C28" s="8">
        <v>1</v>
      </c>
      <c r="D28" s="8" t="s">
        <v>2256</v>
      </c>
      <c r="E28" s="8" t="s">
        <v>25</v>
      </c>
      <c r="F28" s="8" t="s">
        <v>2265</v>
      </c>
      <c r="G28" s="8" t="s">
        <v>2266</v>
      </c>
      <c r="H28" s="8" t="s">
        <v>308</v>
      </c>
      <c r="I28" s="8" t="s">
        <v>309</v>
      </c>
      <c r="J28" s="8" t="s">
        <v>310</v>
      </c>
      <c r="K28" s="8" t="s">
        <v>311</v>
      </c>
      <c r="L28" s="8" t="s">
        <v>312</v>
      </c>
      <c r="M28" s="8" t="s">
        <v>76</v>
      </c>
      <c r="N28" s="8" t="s">
        <v>313</v>
      </c>
      <c r="O28" s="8" t="s">
        <v>314</v>
      </c>
      <c r="P28" s="8" t="s">
        <v>65</v>
      </c>
      <c r="Q28" s="8" t="s">
        <v>315</v>
      </c>
      <c r="R28" s="8" t="s">
        <v>316</v>
      </c>
      <c r="S28" s="8" t="s">
        <v>317</v>
      </c>
      <c r="T28" s="8" t="s">
        <v>39</v>
      </c>
      <c r="U28" s="8" t="s">
        <v>39</v>
      </c>
      <c r="V28" s="8" t="s">
        <v>39</v>
      </c>
      <c r="W28" s="8" t="s">
        <v>39</v>
      </c>
      <c r="X28" s="8" t="s">
        <v>41</v>
      </c>
      <c r="Y28" s="8" t="s">
        <v>55</v>
      </c>
    </row>
    <row r="29" spans="1:25" ht="27.6">
      <c r="A29" s="8" t="s">
        <v>318</v>
      </c>
      <c r="B29" s="8" t="s">
        <v>2252</v>
      </c>
      <c r="C29" s="8">
        <v>1</v>
      </c>
      <c r="D29" s="8" t="s">
        <v>2256</v>
      </c>
      <c r="E29" s="8" t="s">
        <v>25</v>
      </c>
      <c r="F29" s="8" t="s">
        <v>2265</v>
      </c>
      <c r="G29" s="8" t="s">
        <v>2266</v>
      </c>
      <c r="H29" s="8" t="s">
        <v>319</v>
      </c>
      <c r="I29" s="8" t="s">
        <v>135</v>
      </c>
      <c r="J29" s="8" t="s">
        <v>138</v>
      </c>
      <c r="K29" s="8" t="s">
        <v>320</v>
      </c>
      <c r="L29" s="8" t="s">
        <v>137</v>
      </c>
      <c r="M29" s="8" t="s">
        <v>88</v>
      </c>
      <c r="N29" s="8" t="s">
        <v>321</v>
      </c>
      <c r="O29" s="8" t="s">
        <v>322</v>
      </c>
      <c r="P29" s="8" t="s">
        <v>35</v>
      </c>
      <c r="Q29" s="8" t="s">
        <v>323</v>
      </c>
      <c r="R29" s="8" t="s">
        <v>324</v>
      </c>
      <c r="S29" s="8" t="s">
        <v>325</v>
      </c>
      <c r="T29" s="8" t="s">
        <v>39</v>
      </c>
      <c r="U29" s="8" t="s">
        <v>39</v>
      </c>
      <c r="V29" s="8" t="s">
        <v>39</v>
      </c>
      <c r="W29" s="8" t="s">
        <v>39</v>
      </c>
      <c r="X29" s="8" t="s">
        <v>41</v>
      </c>
      <c r="Y29" s="8" t="s">
        <v>55</v>
      </c>
    </row>
    <row r="30" spans="1:25" ht="41.4">
      <c r="A30" s="8" t="s">
        <v>326</v>
      </c>
      <c r="B30" s="8" t="s">
        <v>2252</v>
      </c>
      <c r="C30" s="8">
        <v>1</v>
      </c>
      <c r="D30" s="8" t="s">
        <v>2256</v>
      </c>
      <c r="E30" s="8" t="s">
        <v>25</v>
      </c>
      <c r="F30" s="8" t="s">
        <v>2265</v>
      </c>
      <c r="G30" s="8" t="s">
        <v>2266</v>
      </c>
      <c r="H30" s="8" t="s">
        <v>327</v>
      </c>
      <c r="I30" s="8" t="s">
        <v>328</v>
      </c>
      <c r="J30" s="8" t="s">
        <v>329</v>
      </c>
      <c r="K30" s="8" t="s">
        <v>330</v>
      </c>
      <c r="L30" s="8" t="s">
        <v>30</v>
      </c>
      <c r="M30" s="8" t="s">
        <v>76</v>
      </c>
      <c r="N30" s="8" t="s">
        <v>331</v>
      </c>
      <c r="O30" s="8" t="s">
        <v>332</v>
      </c>
      <c r="P30" s="8" t="s">
        <v>35</v>
      </c>
      <c r="Q30" s="8" t="s">
        <v>333</v>
      </c>
      <c r="R30" s="8" t="s">
        <v>334</v>
      </c>
      <c r="S30" s="8" t="s">
        <v>325</v>
      </c>
      <c r="T30" s="8" t="s">
        <v>39</v>
      </c>
      <c r="U30" s="8" t="s">
        <v>39</v>
      </c>
      <c r="V30" s="8" t="s">
        <v>39</v>
      </c>
      <c r="W30" s="8" t="s">
        <v>39</v>
      </c>
      <c r="X30" s="8" t="s">
        <v>41</v>
      </c>
      <c r="Y30" s="8" t="s">
        <v>55</v>
      </c>
    </row>
    <row r="31" spans="1:25" ht="55.2">
      <c r="A31" s="8" t="s">
        <v>335</v>
      </c>
      <c r="B31" s="8" t="s">
        <v>2252</v>
      </c>
      <c r="C31" s="8">
        <v>1</v>
      </c>
      <c r="D31" s="8" t="s">
        <v>2256</v>
      </c>
      <c r="E31" s="8" t="s">
        <v>25</v>
      </c>
      <c r="F31" s="8" t="s">
        <v>2265</v>
      </c>
      <c r="G31" s="8" t="s">
        <v>2266</v>
      </c>
      <c r="H31" s="8" t="s">
        <v>336</v>
      </c>
      <c r="I31" s="8" t="s">
        <v>337</v>
      </c>
      <c r="J31" s="8" t="s">
        <v>338</v>
      </c>
      <c r="K31" s="8" t="s">
        <v>339</v>
      </c>
      <c r="L31" s="8" t="s">
        <v>340</v>
      </c>
      <c r="M31" s="8" t="s">
        <v>76</v>
      </c>
      <c r="N31" s="8" t="s">
        <v>341</v>
      </c>
      <c r="O31" s="8" t="s">
        <v>342</v>
      </c>
      <c r="P31" s="8" t="s">
        <v>65</v>
      </c>
      <c r="Q31" s="8" t="s">
        <v>343</v>
      </c>
      <c r="R31" s="8" t="s">
        <v>344</v>
      </c>
      <c r="S31" s="8" t="s">
        <v>345</v>
      </c>
      <c r="T31" s="8" t="s">
        <v>39</v>
      </c>
      <c r="U31" s="8" t="s">
        <v>39</v>
      </c>
      <c r="V31" s="8" t="s">
        <v>39</v>
      </c>
      <c r="W31" s="8" t="s">
        <v>39</v>
      </c>
      <c r="X31" s="8" t="s">
        <v>41</v>
      </c>
      <c r="Y31" s="8" t="s">
        <v>42</v>
      </c>
    </row>
    <row r="32" spans="1:25" ht="41.4">
      <c r="A32" s="8" t="s">
        <v>346</v>
      </c>
      <c r="B32" s="8" t="s">
        <v>2252</v>
      </c>
      <c r="C32" s="8">
        <v>1</v>
      </c>
      <c r="D32" s="8" t="s">
        <v>2256</v>
      </c>
      <c r="E32" s="8" t="s">
        <v>25</v>
      </c>
      <c r="F32" s="8" t="s">
        <v>2265</v>
      </c>
      <c r="G32" s="8" t="s">
        <v>2266</v>
      </c>
      <c r="H32" s="8" t="s">
        <v>347</v>
      </c>
      <c r="I32" s="8" t="s">
        <v>348</v>
      </c>
      <c r="J32" s="8" t="s">
        <v>349</v>
      </c>
      <c r="K32" s="8" t="s">
        <v>350</v>
      </c>
      <c r="L32" s="8" t="s">
        <v>351</v>
      </c>
      <c r="M32" s="8" t="s">
        <v>32</v>
      </c>
      <c r="N32" s="8" t="s">
        <v>352</v>
      </c>
      <c r="O32" s="8" t="s">
        <v>353</v>
      </c>
      <c r="P32" s="8" t="s">
        <v>65</v>
      </c>
      <c r="Q32" s="8" t="s">
        <v>354</v>
      </c>
      <c r="R32" s="8" t="s">
        <v>355</v>
      </c>
      <c r="S32" s="8" t="s">
        <v>356</v>
      </c>
      <c r="T32" s="8" t="s">
        <v>39</v>
      </c>
      <c r="U32" s="8" t="s">
        <v>39</v>
      </c>
      <c r="V32" s="8" t="s">
        <v>39</v>
      </c>
      <c r="W32" s="8" t="s">
        <v>39</v>
      </c>
      <c r="X32" s="8" t="s">
        <v>41</v>
      </c>
      <c r="Y32" s="8" t="s">
        <v>55</v>
      </c>
    </row>
    <row r="33" spans="1:25" ht="27.6">
      <c r="A33" s="8" t="s">
        <v>357</v>
      </c>
      <c r="B33" s="8" t="s">
        <v>2252</v>
      </c>
      <c r="C33" s="8">
        <v>1</v>
      </c>
      <c r="D33" s="8" t="s">
        <v>2256</v>
      </c>
      <c r="E33" s="8" t="s">
        <v>25</v>
      </c>
      <c r="F33" s="8" t="s">
        <v>2257</v>
      </c>
      <c r="G33" s="8" t="s">
        <v>2258</v>
      </c>
      <c r="H33" s="8" t="s">
        <v>358</v>
      </c>
      <c r="I33" s="8" t="s">
        <v>359</v>
      </c>
      <c r="J33" s="8" t="s">
        <v>360</v>
      </c>
      <c r="K33" s="8" t="s">
        <v>361</v>
      </c>
      <c r="L33" s="8" t="s">
        <v>362</v>
      </c>
      <c r="M33" s="8" t="s">
        <v>32</v>
      </c>
      <c r="N33" s="8" t="s">
        <v>363</v>
      </c>
      <c r="O33" s="8" t="s">
        <v>364</v>
      </c>
      <c r="P33" s="8" t="s">
        <v>65</v>
      </c>
      <c r="Q33" s="8" t="s">
        <v>365</v>
      </c>
      <c r="R33" s="8" t="s">
        <v>366</v>
      </c>
      <c r="S33" s="8" t="s">
        <v>367</v>
      </c>
      <c r="T33" s="8" t="s">
        <v>39</v>
      </c>
      <c r="U33" s="8" t="s">
        <v>39</v>
      </c>
      <c r="V33" s="8" t="s">
        <v>39</v>
      </c>
      <c r="W33" s="8" t="s">
        <v>39</v>
      </c>
      <c r="X33" s="8" t="s">
        <v>41</v>
      </c>
      <c r="Y33" s="8" t="s">
        <v>42</v>
      </c>
    </row>
    <row r="34" spans="1:25" ht="41.4">
      <c r="A34" s="8" t="s">
        <v>368</v>
      </c>
      <c r="B34" s="8" t="s">
        <v>2252</v>
      </c>
      <c r="C34" s="8">
        <v>1</v>
      </c>
      <c r="D34" s="8" t="s">
        <v>2256</v>
      </c>
      <c r="E34" s="8" t="s">
        <v>25</v>
      </c>
      <c r="F34" s="8" t="s">
        <v>2265</v>
      </c>
      <c r="G34" s="8" t="s">
        <v>2266</v>
      </c>
      <c r="H34" s="8" t="s">
        <v>369</v>
      </c>
      <c r="I34" s="8" t="s">
        <v>370</v>
      </c>
      <c r="J34" s="8" t="s">
        <v>371</v>
      </c>
      <c r="K34" s="8" t="s">
        <v>372</v>
      </c>
      <c r="L34" s="8" t="s">
        <v>373</v>
      </c>
      <c r="M34" s="8" t="s">
        <v>62</v>
      </c>
      <c r="N34" s="8" t="s">
        <v>374</v>
      </c>
      <c r="O34" s="8" t="s">
        <v>375</v>
      </c>
      <c r="P34" s="8" t="s">
        <v>65</v>
      </c>
      <c r="Q34" s="8" t="s">
        <v>376</v>
      </c>
      <c r="R34" s="8" t="s">
        <v>377</v>
      </c>
      <c r="S34" s="8" t="s">
        <v>378</v>
      </c>
      <c r="T34" s="8" t="s">
        <v>39</v>
      </c>
      <c r="U34" s="8" t="s">
        <v>39</v>
      </c>
      <c r="V34" s="8" t="s">
        <v>39</v>
      </c>
      <c r="W34" s="8" t="s">
        <v>39</v>
      </c>
      <c r="X34" s="8" t="s">
        <v>41</v>
      </c>
      <c r="Y34" s="8" t="s">
        <v>55</v>
      </c>
    </row>
    <row r="35" spans="1:25" ht="27.6">
      <c r="A35" s="8" t="s">
        <v>379</v>
      </c>
      <c r="B35" s="8" t="s">
        <v>2252</v>
      </c>
      <c r="C35" s="8">
        <v>1</v>
      </c>
      <c r="D35" s="8" t="s">
        <v>2256</v>
      </c>
      <c r="E35" s="8" t="s">
        <v>25</v>
      </c>
      <c r="F35" s="8" t="s">
        <v>2265</v>
      </c>
      <c r="G35" s="8" t="s">
        <v>2266</v>
      </c>
      <c r="H35" s="8" t="s">
        <v>380</v>
      </c>
      <c r="I35" s="8" t="s">
        <v>135</v>
      </c>
      <c r="J35" s="8" t="s">
        <v>138</v>
      </c>
      <c r="K35" s="8" t="s">
        <v>381</v>
      </c>
      <c r="L35" s="8" t="s">
        <v>382</v>
      </c>
      <c r="M35" s="8" t="s">
        <v>88</v>
      </c>
      <c r="N35" s="8" t="s">
        <v>383</v>
      </c>
      <c r="O35" s="8" t="s">
        <v>375</v>
      </c>
      <c r="P35" s="8" t="s">
        <v>65</v>
      </c>
      <c r="Q35" s="8" t="s">
        <v>384</v>
      </c>
      <c r="R35" s="8" t="s">
        <v>385</v>
      </c>
      <c r="S35" s="8" t="s">
        <v>386</v>
      </c>
      <c r="T35" s="8" t="s">
        <v>39</v>
      </c>
      <c r="U35" s="8" t="s">
        <v>39</v>
      </c>
      <c r="V35" s="8" t="s">
        <v>39</v>
      </c>
      <c r="W35" s="8" t="s">
        <v>39</v>
      </c>
      <c r="X35" s="8" t="s">
        <v>41</v>
      </c>
      <c r="Y35" s="8" t="s">
        <v>55</v>
      </c>
    </row>
    <row r="36" spans="1:25" ht="41.4">
      <c r="A36" s="8" t="s">
        <v>387</v>
      </c>
      <c r="B36" s="8" t="s">
        <v>2252</v>
      </c>
      <c r="C36" s="8">
        <v>1</v>
      </c>
      <c r="D36" s="8" t="s">
        <v>2256</v>
      </c>
      <c r="E36" s="8" t="s">
        <v>25</v>
      </c>
      <c r="F36" s="8" t="s">
        <v>2265</v>
      </c>
      <c r="G36" s="8" t="s">
        <v>2266</v>
      </c>
      <c r="H36" s="8" t="s">
        <v>388</v>
      </c>
      <c r="I36" s="8" t="s">
        <v>389</v>
      </c>
      <c r="J36" s="8" t="s">
        <v>390</v>
      </c>
      <c r="K36" s="8" t="s">
        <v>391</v>
      </c>
      <c r="L36" s="8" t="s">
        <v>48</v>
      </c>
      <c r="M36" s="8" t="s">
        <v>76</v>
      </c>
      <c r="N36" s="8" t="s">
        <v>392</v>
      </c>
      <c r="O36" s="8" t="s">
        <v>332</v>
      </c>
      <c r="P36" s="8" t="s">
        <v>65</v>
      </c>
      <c r="Q36" s="8" t="s">
        <v>333</v>
      </c>
      <c r="R36" s="8" t="s">
        <v>393</v>
      </c>
      <c r="S36" s="8" t="s">
        <v>394</v>
      </c>
      <c r="T36" s="8" t="s">
        <v>39</v>
      </c>
      <c r="U36" s="8" t="s">
        <v>39</v>
      </c>
      <c r="V36" s="8" t="s">
        <v>39</v>
      </c>
      <c r="W36" s="8" t="s">
        <v>39</v>
      </c>
      <c r="X36" s="8" t="s">
        <v>41</v>
      </c>
      <c r="Y36" s="8" t="s">
        <v>55</v>
      </c>
    </row>
    <row r="37" spans="1:25" ht="41.4">
      <c r="A37" s="8" t="s">
        <v>395</v>
      </c>
      <c r="B37" s="8" t="s">
        <v>2252</v>
      </c>
      <c r="C37" s="8">
        <v>1</v>
      </c>
      <c r="D37" s="8" t="s">
        <v>2256</v>
      </c>
      <c r="E37" s="8" t="s">
        <v>25</v>
      </c>
      <c r="F37" s="8" t="s">
        <v>2265</v>
      </c>
      <c r="G37" s="8" t="s">
        <v>2266</v>
      </c>
      <c r="H37" s="8" t="s">
        <v>396</v>
      </c>
      <c r="I37" s="8" t="s">
        <v>397</v>
      </c>
      <c r="J37" s="8" t="s">
        <v>398</v>
      </c>
      <c r="K37" s="8" t="s">
        <v>2279</v>
      </c>
      <c r="L37" s="8" t="s">
        <v>135</v>
      </c>
      <c r="M37" s="8" t="s">
        <v>62</v>
      </c>
      <c r="N37" s="8" t="s">
        <v>400</v>
      </c>
      <c r="O37" s="8" t="s">
        <v>120</v>
      </c>
      <c r="P37" s="8" t="s">
        <v>65</v>
      </c>
      <c r="Q37" s="8" t="s">
        <v>323</v>
      </c>
      <c r="R37" s="8" t="s">
        <v>324</v>
      </c>
      <c r="S37" s="8" t="s">
        <v>325</v>
      </c>
      <c r="T37" s="8" t="s">
        <v>39</v>
      </c>
      <c r="U37" s="8" t="s">
        <v>39</v>
      </c>
      <c r="V37" s="8" t="s">
        <v>39</v>
      </c>
      <c r="W37" s="8" t="s">
        <v>39</v>
      </c>
      <c r="X37" s="8" t="s">
        <v>41</v>
      </c>
      <c r="Y37" s="8" t="s">
        <v>55</v>
      </c>
    </row>
    <row r="38" spans="1:25" ht="55.2">
      <c r="A38" s="8" t="s">
        <v>401</v>
      </c>
      <c r="B38" s="8" t="s">
        <v>2252</v>
      </c>
      <c r="C38" s="8">
        <v>1</v>
      </c>
      <c r="D38" s="8" t="s">
        <v>2256</v>
      </c>
      <c r="E38" s="8" t="s">
        <v>25</v>
      </c>
      <c r="F38" s="8" t="s">
        <v>2265</v>
      </c>
      <c r="G38" s="8" t="s">
        <v>2266</v>
      </c>
      <c r="H38" s="8" t="s">
        <v>402</v>
      </c>
      <c r="I38" s="8" t="s">
        <v>403</v>
      </c>
      <c r="J38" s="8" t="s">
        <v>404</v>
      </c>
      <c r="K38" s="8" t="s">
        <v>405</v>
      </c>
      <c r="L38" s="8" t="s">
        <v>406</v>
      </c>
      <c r="M38" s="8" t="s">
        <v>76</v>
      </c>
      <c r="N38" s="8" t="s">
        <v>407</v>
      </c>
      <c r="O38" s="8" t="s">
        <v>408</v>
      </c>
      <c r="P38" s="8" t="s">
        <v>191</v>
      </c>
      <c r="Q38" s="8" t="s">
        <v>409</v>
      </c>
      <c r="R38" s="8" t="s">
        <v>410</v>
      </c>
      <c r="S38" s="8" t="s">
        <v>411</v>
      </c>
      <c r="T38" s="8" t="s">
        <v>39</v>
      </c>
      <c r="U38" s="8" t="s">
        <v>39</v>
      </c>
      <c r="V38" s="8" t="s">
        <v>39</v>
      </c>
      <c r="W38" s="8" t="s">
        <v>39</v>
      </c>
      <c r="X38" s="8" t="s">
        <v>41</v>
      </c>
      <c r="Y38" s="8" t="s">
        <v>42</v>
      </c>
    </row>
    <row r="39" spans="1:25" ht="69">
      <c r="A39" s="8" t="s">
        <v>412</v>
      </c>
      <c r="B39" s="8" t="s">
        <v>2252</v>
      </c>
      <c r="C39" s="8">
        <v>1</v>
      </c>
      <c r="D39" s="8" t="s">
        <v>2256</v>
      </c>
      <c r="E39" s="8" t="s">
        <v>25</v>
      </c>
      <c r="F39" s="8" t="s">
        <v>2265</v>
      </c>
      <c r="G39" s="8" t="s">
        <v>2266</v>
      </c>
      <c r="H39" s="8" t="s">
        <v>413</v>
      </c>
      <c r="I39" s="8" t="s">
        <v>414</v>
      </c>
      <c r="J39" s="8" t="s">
        <v>415</v>
      </c>
      <c r="K39" s="8" t="s">
        <v>416</v>
      </c>
      <c r="L39" s="8" t="s">
        <v>417</v>
      </c>
      <c r="M39" s="8" t="s">
        <v>62</v>
      </c>
      <c r="N39" s="8" t="s">
        <v>418</v>
      </c>
      <c r="O39" s="8" t="s">
        <v>419</v>
      </c>
      <c r="P39" s="8" t="s">
        <v>191</v>
      </c>
      <c r="Q39" s="8" t="s">
        <v>420</v>
      </c>
      <c r="R39" s="8" t="s">
        <v>421</v>
      </c>
      <c r="S39" s="8" t="s">
        <v>422</v>
      </c>
      <c r="T39" s="8" t="s">
        <v>39</v>
      </c>
      <c r="U39" s="8" t="s">
        <v>39</v>
      </c>
      <c r="V39" s="8" t="s">
        <v>39</v>
      </c>
      <c r="W39" s="8" t="s">
        <v>39</v>
      </c>
      <c r="X39" s="8" t="s">
        <v>41</v>
      </c>
      <c r="Y39" s="8" t="s">
        <v>42</v>
      </c>
    </row>
    <row r="40" spans="1:25" ht="82.8">
      <c r="A40" s="8" t="s">
        <v>423</v>
      </c>
      <c r="B40" s="8" t="s">
        <v>2252</v>
      </c>
      <c r="C40" s="8">
        <v>1</v>
      </c>
      <c r="D40" s="8" t="s">
        <v>2256</v>
      </c>
      <c r="E40" s="8" t="s">
        <v>25</v>
      </c>
      <c r="F40" s="8" t="s">
        <v>2265</v>
      </c>
      <c r="G40" s="8" t="s">
        <v>2266</v>
      </c>
      <c r="H40" s="8" t="s">
        <v>424</v>
      </c>
      <c r="I40" s="8" t="s">
        <v>425</v>
      </c>
      <c r="J40" s="8" t="s">
        <v>426</v>
      </c>
      <c r="K40" s="8" t="s">
        <v>427</v>
      </c>
      <c r="L40" s="8" t="s">
        <v>428</v>
      </c>
      <c r="M40" s="8" t="s">
        <v>62</v>
      </c>
      <c r="N40" s="8" t="s">
        <v>429</v>
      </c>
      <c r="O40" s="8" t="s">
        <v>2280</v>
      </c>
      <c r="P40" s="8" t="s">
        <v>65</v>
      </c>
      <c r="Q40" s="8" t="s">
        <v>431</v>
      </c>
      <c r="R40" s="8" t="s">
        <v>432</v>
      </c>
      <c r="S40" s="8" t="s">
        <v>433</v>
      </c>
      <c r="T40" s="8" t="s">
        <v>39</v>
      </c>
      <c r="U40" s="8" t="s">
        <v>39</v>
      </c>
      <c r="V40" s="8" t="s">
        <v>39</v>
      </c>
      <c r="W40" s="8" t="s">
        <v>39</v>
      </c>
      <c r="X40" s="8" t="s">
        <v>41</v>
      </c>
      <c r="Y40" s="8" t="s">
        <v>42</v>
      </c>
    </row>
    <row r="41" spans="1:25" ht="41.4">
      <c r="A41" s="8" t="s">
        <v>434</v>
      </c>
      <c r="B41" s="8" t="s">
        <v>2252</v>
      </c>
      <c r="C41" s="8">
        <v>2</v>
      </c>
      <c r="D41" s="8" t="s">
        <v>2281</v>
      </c>
      <c r="E41" s="8" t="s">
        <v>2282</v>
      </c>
      <c r="F41" s="8" t="s">
        <v>2283</v>
      </c>
      <c r="G41" s="8" t="s">
        <v>2284</v>
      </c>
      <c r="H41" s="8" t="s">
        <v>437</v>
      </c>
      <c r="I41" s="8" t="s">
        <v>438</v>
      </c>
      <c r="J41" s="8" t="s">
        <v>439</v>
      </c>
      <c r="K41" s="8" t="s">
        <v>440</v>
      </c>
      <c r="L41" s="8" t="s">
        <v>441</v>
      </c>
      <c r="M41" s="8" t="s">
        <v>76</v>
      </c>
      <c r="N41" s="8" t="s">
        <v>442</v>
      </c>
      <c r="O41" s="8" t="s">
        <v>2285</v>
      </c>
      <c r="P41" s="8" t="s">
        <v>191</v>
      </c>
      <c r="Q41" s="8" t="s">
        <v>444</v>
      </c>
      <c r="R41" s="8" t="s">
        <v>445</v>
      </c>
      <c r="S41" s="8" t="s">
        <v>446</v>
      </c>
      <c r="T41" s="8" t="s">
        <v>39</v>
      </c>
      <c r="U41" s="8" t="s">
        <v>39</v>
      </c>
      <c r="V41" s="8" t="s">
        <v>39</v>
      </c>
      <c r="W41" s="8" t="s">
        <v>39</v>
      </c>
      <c r="X41" s="8" t="s">
        <v>447</v>
      </c>
      <c r="Y41" s="8" t="s">
        <v>55</v>
      </c>
    </row>
    <row r="42" spans="1:25" ht="69">
      <c r="A42" s="8" t="s">
        <v>448</v>
      </c>
      <c r="B42" s="8" t="s">
        <v>2252</v>
      </c>
      <c r="C42" s="8">
        <v>2</v>
      </c>
      <c r="D42" s="8" t="s">
        <v>2281</v>
      </c>
      <c r="E42" s="8" t="s">
        <v>2282</v>
      </c>
      <c r="F42" s="8" t="s">
        <v>2283</v>
      </c>
      <c r="G42" s="8" t="s">
        <v>2284</v>
      </c>
      <c r="H42" s="8" t="s">
        <v>449</v>
      </c>
      <c r="I42" s="8" t="s">
        <v>450</v>
      </c>
      <c r="J42" s="8" t="s">
        <v>451</v>
      </c>
      <c r="K42" s="8" t="s">
        <v>452</v>
      </c>
      <c r="L42" s="8" t="s">
        <v>453</v>
      </c>
      <c r="M42" s="8" t="s">
        <v>62</v>
      </c>
      <c r="N42" s="8" t="s">
        <v>454</v>
      </c>
      <c r="O42" s="8" t="s">
        <v>455</v>
      </c>
      <c r="P42" s="8" t="s">
        <v>65</v>
      </c>
      <c r="Q42" s="8" t="s">
        <v>456</v>
      </c>
      <c r="R42" s="8" t="s">
        <v>457</v>
      </c>
      <c r="S42" s="8" t="s">
        <v>458</v>
      </c>
      <c r="T42" s="8" t="s">
        <v>39</v>
      </c>
      <c r="U42" s="8" t="s">
        <v>39</v>
      </c>
      <c r="V42" s="8" t="s">
        <v>39</v>
      </c>
      <c r="W42" s="8" t="s">
        <v>39</v>
      </c>
      <c r="X42" s="8" t="s">
        <v>447</v>
      </c>
      <c r="Y42" s="8" t="s">
        <v>42</v>
      </c>
    </row>
    <row r="43" spans="1:25" ht="41.4">
      <c r="A43" s="8" t="s">
        <v>459</v>
      </c>
      <c r="B43" s="8" t="s">
        <v>2252</v>
      </c>
      <c r="C43" s="8">
        <v>2</v>
      </c>
      <c r="D43" s="8" t="s">
        <v>2281</v>
      </c>
      <c r="E43" s="8" t="s">
        <v>2282</v>
      </c>
      <c r="F43" s="8" t="s">
        <v>2283</v>
      </c>
      <c r="G43" s="8" t="s">
        <v>2284</v>
      </c>
      <c r="H43" s="8" t="s">
        <v>461</v>
      </c>
      <c r="I43" s="8" t="s">
        <v>462</v>
      </c>
      <c r="J43" s="8" t="s">
        <v>463</v>
      </c>
      <c r="K43" s="8" t="s">
        <v>464</v>
      </c>
      <c r="L43" s="8" t="s">
        <v>465</v>
      </c>
      <c r="M43" s="8" t="s">
        <v>62</v>
      </c>
      <c r="N43" s="8" t="s">
        <v>466</v>
      </c>
      <c r="O43" s="8" t="s">
        <v>467</v>
      </c>
      <c r="P43" s="8" t="s">
        <v>65</v>
      </c>
      <c r="Q43" s="8" t="s">
        <v>468</v>
      </c>
      <c r="R43" s="8" t="s">
        <v>469</v>
      </c>
      <c r="S43" s="8" t="s">
        <v>470</v>
      </c>
      <c r="T43" s="8" t="s">
        <v>39</v>
      </c>
      <c r="U43" s="8" t="s">
        <v>39</v>
      </c>
      <c r="V43" s="8" t="s">
        <v>39</v>
      </c>
      <c r="W43" s="8" t="s">
        <v>39</v>
      </c>
      <c r="X43" s="8" t="s">
        <v>447</v>
      </c>
      <c r="Y43" s="8" t="s">
        <v>42</v>
      </c>
    </row>
    <row r="44" spans="1:25" ht="27.6">
      <c r="A44" s="8" t="s">
        <v>471</v>
      </c>
      <c r="B44" s="8" t="s">
        <v>2252</v>
      </c>
      <c r="C44" s="8">
        <v>2</v>
      </c>
      <c r="D44" s="8" t="s">
        <v>2281</v>
      </c>
      <c r="E44" s="8" t="s">
        <v>2282</v>
      </c>
      <c r="F44" s="8" t="s">
        <v>2286</v>
      </c>
      <c r="G44" s="8" t="s">
        <v>2287</v>
      </c>
      <c r="H44" s="8" t="s">
        <v>473</v>
      </c>
      <c r="I44" s="8" t="s">
        <v>474</v>
      </c>
      <c r="J44" s="8" t="s">
        <v>475</v>
      </c>
      <c r="K44" s="8" t="s">
        <v>476</v>
      </c>
      <c r="L44" s="8" t="s">
        <v>477</v>
      </c>
      <c r="M44" s="8" t="s">
        <v>32</v>
      </c>
      <c r="N44" s="8" t="s">
        <v>478</v>
      </c>
      <c r="O44" s="8" t="s">
        <v>479</v>
      </c>
      <c r="P44" s="8" t="s">
        <v>191</v>
      </c>
      <c r="Q44" s="8" t="s">
        <v>480</v>
      </c>
      <c r="R44" s="8" t="s">
        <v>481</v>
      </c>
      <c r="S44" s="8" t="s">
        <v>482</v>
      </c>
      <c r="T44" s="8" t="s">
        <v>39</v>
      </c>
      <c r="U44" s="8" t="s">
        <v>39</v>
      </c>
      <c r="V44" s="8" t="s">
        <v>39</v>
      </c>
      <c r="W44" s="8" t="s">
        <v>39</v>
      </c>
      <c r="X44" s="8" t="s">
        <v>447</v>
      </c>
      <c r="Y44" s="8" t="s">
        <v>55</v>
      </c>
    </row>
    <row r="45" spans="1:25" ht="41.4">
      <c r="A45" s="8" t="s">
        <v>483</v>
      </c>
      <c r="B45" s="8" t="s">
        <v>2252</v>
      </c>
      <c r="C45" s="8">
        <v>2</v>
      </c>
      <c r="D45" s="8" t="s">
        <v>2281</v>
      </c>
      <c r="E45" s="8" t="s">
        <v>2282</v>
      </c>
      <c r="F45" s="8" t="s">
        <v>2283</v>
      </c>
      <c r="G45" s="8" t="s">
        <v>2284</v>
      </c>
      <c r="H45" s="8" t="s">
        <v>484</v>
      </c>
      <c r="I45" s="8" t="s">
        <v>485</v>
      </c>
      <c r="J45" s="8" t="s">
        <v>486</v>
      </c>
      <c r="K45" s="8" t="s">
        <v>487</v>
      </c>
      <c r="L45" s="8" t="s">
        <v>488</v>
      </c>
      <c r="M45" s="8" t="s">
        <v>76</v>
      </c>
      <c r="N45" s="8" t="s">
        <v>489</v>
      </c>
      <c r="O45" s="8" t="s">
        <v>490</v>
      </c>
      <c r="P45" s="8" t="s">
        <v>191</v>
      </c>
      <c r="Q45" s="8" t="s">
        <v>491</v>
      </c>
      <c r="R45" s="8" t="s">
        <v>492</v>
      </c>
      <c r="S45" s="8" t="s">
        <v>493</v>
      </c>
      <c r="T45" s="8" t="s">
        <v>39</v>
      </c>
      <c r="U45" s="8" t="s">
        <v>39</v>
      </c>
      <c r="V45" s="8" t="s">
        <v>39</v>
      </c>
      <c r="W45" s="8" t="s">
        <v>39</v>
      </c>
      <c r="X45" s="8" t="s">
        <v>447</v>
      </c>
      <c r="Y45" s="8" t="s">
        <v>55</v>
      </c>
    </row>
    <row r="46" spans="1:25" ht="41.4">
      <c r="A46" s="8" t="s">
        <v>494</v>
      </c>
      <c r="B46" s="8" t="s">
        <v>2252</v>
      </c>
      <c r="C46" s="8">
        <v>2</v>
      </c>
      <c r="D46" s="8" t="s">
        <v>2281</v>
      </c>
      <c r="E46" s="8" t="s">
        <v>2282</v>
      </c>
      <c r="F46" s="8" t="s">
        <v>2288</v>
      </c>
      <c r="G46" s="8" t="s">
        <v>2289</v>
      </c>
      <c r="H46" s="8" t="s">
        <v>496</v>
      </c>
      <c r="I46" s="8" t="s">
        <v>497</v>
      </c>
      <c r="J46" s="8" t="s">
        <v>2290</v>
      </c>
      <c r="K46" s="8" t="s">
        <v>2291</v>
      </c>
      <c r="L46" s="8" t="s">
        <v>2292</v>
      </c>
      <c r="M46" s="8" t="s">
        <v>88</v>
      </c>
      <c r="N46" s="8" t="s">
        <v>501</v>
      </c>
      <c r="O46" s="8" t="s">
        <v>502</v>
      </c>
      <c r="P46" s="8" t="s">
        <v>191</v>
      </c>
      <c r="Q46" s="8" t="s">
        <v>503</v>
      </c>
      <c r="R46" s="8" t="s">
        <v>504</v>
      </c>
      <c r="S46" s="8" t="s">
        <v>505</v>
      </c>
      <c r="T46" s="8" t="s">
        <v>39</v>
      </c>
      <c r="U46" s="8" t="s">
        <v>39</v>
      </c>
      <c r="V46" s="8" t="s">
        <v>39</v>
      </c>
      <c r="W46" s="8" t="s">
        <v>39</v>
      </c>
      <c r="X46" s="8" t="s">
        <v>447</v>
      </c>
      <c r="Y46" s="8" t="s">
        <v>55</v>
      </c>
    </row>
    <row r="47" spans="1:25" ht="27.6">
      <c r="A47" s="8" t="s">
        <v>506</v>
      </c>
      <c r="B47" s="8" t="s">
        <v>2252</v>
      </c>
      <c r="C47" s="8">
        <v>2</v>
      </c>
      <c r="D47" s="8" t="s">
        <v>2281</v>
      </c>
      <c r="E47" s="8" t="s">
        <v>2282</v>
      </c>
      <c r="F47" s="8" t="s">
        <v>2288</v>
      </c>
      <c r="G47" s="8" t="s">
        <v>2289</v>
      </c>
      <c r="H47" s="8" t="s">
        <v>507</v>
      </c>
      <c r="I47" s="8" t="s">
        <v>508</v>
      </c>
      <c r="J47" s="8" t="s">
        <v>2293</v>
      </c>
      <c r="K47" s="8" t="s">
        <v>138</v>
      </c>
      <c r="L47" s="8" t="s">
        <v>2294</v>
      </c>
      <c r="M47" s="8" t="s">
        <v>32</v>
      </c>
      <c r="N47" s="8" t="s">
        <v>511</v>
      </c>
      <c r="O47" s="8" t="s">
        <v>512</v>
      </c>
      <c r="P47" s="8" t="s">
        <v>191</v>
      </c>
      <c r="Q47" s="8" t="s">
        <v>513</v>
      </c>
      <c r="R47" s="8" t="s">
        <v>514</v>
      </c>
      <c r="S47" s="8" t="s">
        <v>515</v>
      </c>
      <c r="T47" s="8" t="s">
        <v>39</v>
      </c>
      <c r="U47" s="8" t="s">
        <v>39</v>
      </c>
      <c r="V47" s="8" t="s">
        <v>39</v>
      </c>
      <c r="W47" s="8" t="s">
        <v>39</v>
      </c>
      <c r="X47" s="8" t="s">
        <v>447</v>
      </c>
      <c r="Y47" s="8" t="s">
        <v>55</v>
      </c>
    </row>
    <row r="48" spans="1:25" ht="41.4">
      <c r="A48" s="8" t="s">
        <v>516</v>
      </c>
      <c r="B48" s="8" t="s">
        <v>2252</v>
      </c>
      <c r="C48" s="8">
        <v>2</v>
      </c>
      <c r="D48" s="8" t="s">
        <v>2281</v>
      </c>
      <c r="E48" s="8" t="s">
        <v>2282</v>
      </c>
      <c r="F48" s="8" t="s">
        <v>2288</v>
      </c>
      <c r="G48" s="8" t="s">
        <v>2289</v>
      </c>
      <c r="H48" s="8" t="s">
        <v>517</v>
      </c>
      <c r="I48" s="8" t="s">
        <v>138</v>
      </c>
      <c r="J48" s="8" t="s">
        <v>2295</v>
      </c>
      <c r="K48" s="8" t="s">
        <v>519</v>
      </c>
      <c r="L48" s="8" t="s">
        <v>520</v>
      </c>
      <c r="M48" s="8" t="s">
        <v>88</v>
      </c>
      <c r="N48" s="8" t="s">
        <v>521</v>
      </c>
      <c r="O48" s="8" t="s">
        <v>522</v>
      </c>
      <c r="P48" s="8" t="s">
        <v>191</v>
      </c>
      <c r="Q48" s="8" t="s">
        <v>523</v>
      </c>
      <c r="R48" s="8" t="s">
        <v>524</v>
      </c>
      <c r="S48" s="8" t="s">
        <v>525</v>
      </c>
      <c r="T48" s="8" t="s">
        <v>39</v>
      </c>
      <c r="U48" s="8" t="s">
        <v>39</v>
      </c>
      <c r="V48" s="8" t="s">
        <v>39</v>
      </c>
      <c r="W48" s="8" t="s">
        <v>39</v>
      </c>
      <c r="X48" s="8" t="s">
        <v>447</v>
      </c>
      <c r="Y48" s="8" t="s">
        <v>55</v>
      </c>
    </row>
    <row r="49" spans="1:25" ht="27.6">
      <c r="A49" s="8" t="s">
        <v>526</v>
      </c>
      <c r="B49" s="8" t="s">
        <v>2252</v>
      </c>
      <c r="C49" s="8">
        <v>2</v>
      </c>
      <c r="D49" s="8" t="s">
        <v>2281</v>
      </c>
      <c r="E49" s="8" t="s">
        <v>2282</v>
      </c>
      <c r="F49" s="8" t="s">
        <v>2283</v>
      </c>
      <c r="G49" s="8" t="s">
        <v>2284</v>
      </c>
      <c r="H49" s="8" t="s">
        <v>527</v>
      </c>
      <c r="I49" s="8" t="s">
        <v>528</v>
      </c>
      <c r="J49" s="8" t="s">
        <v>529</v>
      </c>
      <c r="K49" s="8" t="s">
        <v>530</v>
      </c>
      <c r="L49" s="8" t="s">
        <v>531</v>
      </c>
      <c r="M49" s="8" t="s">
        <v>88</v>
      </c>
      <c r="N49" s="8" t="s">
        <v>532</v>
      </c>
      <c r="O49" s="8" t="s">
        <v>533</v>
      </c>
      <c r="P49" s="8" t="s">
        <v>191</v>
      </c>
      <c r="Q49" s="8" t="s">
        <v>534</v>
      </c>
      <c r="R49" s="8" t="s">
        <v>535</v>
      </c>
      <c r="S49" s="8" t="s">
        <v>536</v>
      </c>
      <c r="T49" s="8" t="s">
        <v>39</v>
      </c>
      <c r="U49" s="8" t="s">
        <v>39</v>
      </c>
      <c r="V49" s="8" t="s">
        <v>39</v>
      </c>
      <c r="W49" s="8" t="s">
        <v>39</v>
      </c>
      <c r="X49" s="8" t="s">
        <v>447</v>
      </c>
      <c r="Y49" s="8" t="s">
        <v>55</v>
      </c>
    </row>
    <row r="50" spans="1:25" ht="41.4">
      <c r="A50" s="8" t="s">
        <v>537</v>
      </c>
      <c r="B50" s="8" t="s">
        <v>2252</v>
      </c>
      <c r="C50" s="8">
        <v>2</v>
      </c>
      <c r="D50" s="8" t="s">
        <v>2281</v>
      </c>
      <c r="E50" s="8" t="s">
        <v>2282</v>
      </c>
      <c r="F50" s="8" t="s">
        <v>2283</v>
      </c>
      <c r="G50" s="8" t="s">
        <v>2284</v>
      </c>
      <c r="H50" s="8" t="s">
        <v>538</v>
      </c>
      <c r="I50" s="8" t="s">
        <v>539</v>
      </c>
      <c r="J50" s="8" t="s">
        <v>529</v>
      </c>
      <c r="K50" s="8" t="s">
        <v>540</v>
      </c>
      <c r="L50" s="8" t="s">
        <v>541</v>
      </c>
      <c r="M50" s="8" t="s">
        <v>76</v>
      </c>
      <c r="N50" s="8" t="s">
        <v>542</v>
      </c>
      <c r="O50" s="8" t="s">
        <v>543</v>
      </c>
      <c r="P50" s="8" t="s">
        <v>191</v>
      </c>
      <c r="Q50" s="8" t="s">
        <v>544</v>
      </c>
      <c r="R50" s="8" t="s">
        <v>545</v>
      </c>
      <c r="S50" s="8" t="s">
        <v>546</v>
      </c>
      <c r="T50" s="8" t="s">
        <v>39</v>
      </c>
      <c r="U50" s="8" t="s">
        <v>39</v>
      </c>
      <c r="V50" s="8" t="s">
        <v>39</v>
      </c>
      <c r="W50" s="8" t="s">
        <v>39</v>
      </c>
      <c r="X50" s="8" t="s">
        <v>447</v>
      </c>
      <c r="Y50" s="8" t="s">
        <v>55</v>
      </c>
    </row>
    <row r="51" spans="1:25" ht="41.4">
      <c r="A51" s="8" t="s">
        <v>547</v>
      </c>
      <c r="B51" s="8" t="s">
        <v>2252</v>
      </c>
      <c r="C51" s="8">
        <v>2</v>
      </c>
      <c r="D51" s="8" t="s">
        <v>2281</v>
      </c>
      <c r="E51" s="8" t="s">
        <v>2282</v>
      </c>
      <c r="F51" s="8" t="s">
        <v>2286</v>
      </c>
      <c r="G51" s="8" t="s">
        <v>2287</v>
      </c>
      <c r="H51" s="8" t="s">
        <v>548</v>
      </c>
      <c r="I51" s="8" t="s">
        <v>549</v>
      </c>
      <c r="J51" s="8" t="s">
        <v>550</v>
      </c>
      <c r="K51" s="8" t="s">
        <v>551</v>
      </c>
      <c r="L51" s="8" t="s">
        <v>552</v>
      </c>
      <c r="M51" s="8" t="s">
        <v>32</v>
      </c>
      <c r="N51" s="8" t="s">
        <v>553</v>
      </c>
      <c r="O51" s="8" t="s">
        <v>554</v>
      </c>
      <c r="P51" s="8" t="s">
        <v>191</v>
      </c>
      <c r="Q51" s="8" t="s">
        <v>555</v>
      </c>
      <c r="R51" s="8" t="s">
        <v>556</v>
      </c>
      <c r="S51" s="8" t="s">
        <v>557</v>
      </c>
      <c r="T51" s="8" t="s">
        <v>39</v>
      </c>
      <c r="U51" s="8" t="s">
        <v>39</v>
      </c>
      <c r="V51" s="8" t="s">
        <v>39</v>
      </c>
      <c r="W51" s="8" t="s">
        <v>39</v>
      </c>
      <c r="X51" s="8" t="s">
        <v>447</v>
      </c>
      <c r="Y51" s="8" t="s">
        <v>55</v>
      </c>
    </row>
    <row r="52" spans="1:25" ht="27.6">
      <c r="A52" s="8" t="s">
        <v>558</v>
      </c>
      <c r="B52" s="8" t="s">
        <v>2252</v>
      </c>
      <c r="C52" s="8">
        <v>2</v>
      </c>
      <c r="D52" s="8" t="s">
        <v>2281</v>
      </c>
      <c r="E52" s="8" t="s">
        <v>2282</v>
      </c>
      <c r="F52" s="8" t="s">
        <v>2283</v>
      </c>
      <c r="G52" s="8" t="s">
        <v>2284</v>
      </c>
      <c r="H52" s="8" t="s">
        <v>559</v>
      </c>
      <c r="I52" s="8" t="s">
        <v>560</v>
      </c>
      <c r="J52" s="8" t="s">
        <v>561</v>
      </c>
      <c r="K52" s="8" t="s">
        <v>562</v>
      </c>
      <c r="L52" s="8" t="s">
        <v>563</v>
      </c>
      <c r="M52" s="8" t="s">
        <v>62</v>
      </c>
      <c r="N52" s="8" t="s">
        <v>564</v>
      </c>
      <c r="O52" s="8" t="s">
        <v>565</v>
      </c>
      <c r="P52" s="8" t="s">
        <v>191</v>
      </c>
      <c r="Q52" s="8" t="s">
        <v>566</v>
      </c>
      <c r="R52" s="8" t="s">
        <v>567</v>
      </c>
      <c r="S52" s="8" t="s">
        <v>568</v>
      </c>
      <c r="T52" s="8" t="s">
        <v>39</v>
      </c>
      <c r="U52" s="8" t="s">
        <v>39</v>
      </c>
      <c r="V52" s="8" t="s">
        <v>39</v>
      </c>
      <c r="W52" s="8" t="s">
        <v>39</v>
      </c>
      <c r="X52" s="8" t="s">
        <v>447</v>
      </c>
      <c r="Y52" s="8" t="s">
        <v>42</v>
      </c>
    </row>
    <row r="53" spans="1:25" ht="41.4">
      <c r="A53" s="8" t="s">
        <v>569</v>
      </c>
      <c r="B53" s="8" t="s">
        <v>2252</v>
      </c>
      <c r="C53" s="8">
        <v>2</v>
      </c>
      <c r="D53" s="8" t="s">
        <v>2281</v>
      </c>
      <c r="E53" s="8" t="s">
        <v>2282</v>
      </c>
      <c r="F53" s="8" t="s">
        <v>2283</v>
      </c>
      <c r="G53" s="8" t="s">
        <v>2284</v>
      </c>
      <c r="H53" s="8" t="s">
        <v>570</v>
      </c>
      <c r="I53" s="8" t="s">
        <v>571</v>
      </c>
      <c r="J53" s="8" t="s">
        <v>572</v>
      </c>
      <c r="K53" s="8" t="s">
        <v>573</v>
      </c>
      <c r="L53" s="8" t="s">
        <v>574</v>
      </c>
      <c r="M53" s="8" t="s">
        <v>88</v>
      </c>
      <c r="N53" s="8" t="s">
        <v>575</v>
      </c>
      <c r="O53" s="8" t="s">
        <v>576</v>
      </c>
      <c r="P53" s="8" t="s">
        <v>191</v>
      </c>
      <c r="Q53" s="8" t="s">
        <v>444</v>
      </c>
      <c r="R53" s="8" t="s">
        <v>577</v>
      </c>
      <c r="S53" s="8" t="s">
        <v>578</v>
      </c>
      <c r="T53" s="8" t="s">
        <v>39</v>
      </c>
      <c r="U53" s="8" t="s">
        <v>39</v>
      </c>
      <c r="V53" s="8" t="s">
        <v>39</v>
      </c>
      <c r="W53" s="8" t="s">
        <v>39</v>
      </c>
      <c r="X53" s="8" t="s">
        <v>447</v>
      </c>
      <c r="Y53" s="8" t="s">
        <v>55</v>
      </c>
    </row>
    <row r="54" spans="1:25" ht="27.6">
      <c r="A54" s="8" t="s">
        <v>579</v>
      </c>
      <c r="B54" s="8" t="s">
        <v>2252</v>
      </c>
      <c r="C54" s="8">
        <v>2</v>
      </c>
      <c r="D54" s="8" t="s">
        <v>2281</v>
      </c>
      <c r="E54" s="8" t="s">
        <v>2282</v>
      </c>
      <c r="F54" s="8" t="s">
        <v>2283</v>
      </c>
      <c r="G54" s="8" t="s">
        <v>2284</v>
      </c>
      <c r="H54" s="8" t="s">
        <v>580</v>
      </c>
      <c r="I54" s="8" t="s">
        <v>581</v>
      </c>
      <c r="J54" s="8" t="s">
        <v>582</v>
      </c>
      <c r="K54" s="8" t="s">
        <v>583</v>
      </c>
      <c r="L54" s="8" t="s">
        <v>584</v>
      </c>
      <c r="M54" s="8" t="s">
        <v>76</v>
      </c>
      <c r="N54" s="8" t="s">
        <v>585</v>
      </c>
      <c r="O54" s="8" t="s">
        <v>586</v>
      </c>
      <c r="P54" s="8" t="s">
        <v>65</v>
      </c>
      <c r="Q54" s="8" t="s">
        <v>587</v>
      </c>
      <c r="R54" s="8" t="s">
        <v>588</v>
      </c>
      <c r="S54" s="8" t="s">
        <v>589</v>
      </c>
      <c r="T54" s="8" t="s">
        <v>39</v>
      </c>
      <c r="U54" s="8" t="s">
        <v>39</v>
      </c>
      <c r="V54" s="8" t="s">
        <v>39</v>
      </c>
      <c r="W54" s="8" t="s">
        <v>39</v>
      </c>
      <c r="X54" s="8" t="s">
        <v>447</v>
      </c>
      <c r="Y54" s="8" t="s">
        <v>55</v>
      </c>
    </row>
    <row r="55" spans="1:25" ht="41.4">
      <c r="A55" s="8" t="s">
        <v>590</v>
      </c>
      <c r="B55" s="8" t="s">
        <v>2252</v>
      </c>
      <c r="C55" s="8">
        <v>2</v>
      </c>
      <c r="D55" s="8" t="s">
        <v>2281</v>
      </c>
      <c r="E55" s="8" t="s">
        <v>2282</v>
      </c>
      <c r="F55" s="8" t="s">
        <v>2283</v>
      </c>
      <c r="G55" s="8" t="s">
        <v>2284</v>
      </c>
      <c r="H55" s="8" t="s">
        <v>591</v>
      </c>
      <c r="I55" s="8" t="s">
        <v>592</v>
      </c>
      <c r="J55" s="8" t="s">
        <v>593</v>
      </c>
      <c r="K55" s="8" t="s">
        <v>594</v>
      </c>
      <c r="L55" s="8" t="s">
        <v>595</v>
      </c>
      <c r="M55" s="8" t="s">
        <v>32</v>
      </c>
      <c r="N55" s="8" t="s">
        <v>596</v>
      </c>
      <c r="O55" s="8" t="s">
        <v>597</v>
      </c>
      <c r="P55" s="8" t="s">
        <v>65</v>
      </c>
      <c r="Q55" s="8" t="s">
        <v>598</v>
      </c>
      <c r="R55" s="8" t="s">
        <v>599</v>
      </c>
      <c r="S55" s="8" t="s">
        <v>600</v>
      </c>
      <c r="T55" s="8" t="s">
        <v>39</v>
      </c>
      <c r="U55" s="8" t="s">
        <v>39</v>
      </c>
      <c r="V55" s="8" t="s">
        <v>39</v>
      </c>
      <c r="W55" s="8" t="s">
        <v>39</v>
      </c>
      <c r="X55" s="8" t="s">
        <v>447</v>
      </c>
      <c r="Y55" s="8" t="s">
        <v>55</v>
      </c>
    </row>
    <row r="56" spans="1:25" ht="41.4">
      <c r="A56" s="8" t="s">
        <v>601</v>
      </c>
      <c r="B56" s="8" t="s">
        <v>2252</v>
      </c>
      <c r="C56" s="8">
        <v>2</v>
      </c>
      <c r="D56" s="8" t="s">
        <v>2281</v>
      </c>
      <c r="E56" s="8" t="s">
        <v>2282</v>
      </c>
      <c r="F56" s="8" t="s">
        <v>2283</v>
      </c>
      <c r="G56" s="8" t="s">
        <v>2284</v>
      </c>
      <c r="H56" s="8" t="s">
        <v>602</v>
      </c>
      <c r="I56" s="8" t="s">
        <v>603</v>
      </c>
      <c r="J56" s="8" t="s">
        <v>604</v>
      </c>
      <c r="K56" s="8" t="s">
        <v>450</v>
      </c>
      <c r="L56" s="8" t="s">
        <v>605</v>
      </c>
      <c r="M56" s="8" t="s">
        <v>76</v>
      </c>
      <c r="N56" s="8" t="s">
        <v>606</v>
      </c>
      <c r="O56" s="8" t="s">
        <v>607</v>
      </c>
      <c r="P56" s="8" t="s">
        <v>65</v>
      </c>
      <c r="Q56" s="8" t="s">
        <v>608</v>
      </c>
      <c r="R56" s="8" t="s">
        <v>609</v>
      </c>
      <c r="S56" s="8" t="s">
        <v>610</v>
      </c>
      <c r="T56" s="8" t="s">
        <v>39</v>
      </c>
      <c r="U56" s="8" t="s">
        <v>39</v>
      </c>
      <c r="V56" s="8" t="s">
        <v>39</v>
      </c>
      <c r="W56" s="8" t="s">
        <v>39</v>
      </c>
      <c r="X56" s="8" t="s">
        <v>447</v>
      </c>
      <c r="Y56" s="8" t="s">
        <v>55</v>
      </c>
    </row>
    <row r="57" spans="1:25" ht="27.6">
      <c r="A57" s="8" t="s">
        <v>611</v>
      </c>
      <c r="B57" s="8" t="s">
        <v>2252</v>
      </c>
      <c r="C57" s="8">
        <v>2</v>
      </c>
      <c r="D57" s="8" t="s">
        <v>2281</v>
      </c>
      <c r="E57" s="8" t="s">
        <v>2282</v>
      </c>
      <c r="F57" s="8" t="s">
        <v>2283</v>
      </c>
      <c r="G57" s="8" t="s">
        <v>2284</v>
      </c>
      <c r="H57" s="8" t="s">
        <v>612</v>
      </c>
      <c r="I57" s="8" t="s">
        <v>613</v>
      </c>
      <c r="J57" s="8" t="s">
        <v>614</v>
      </c>
      <c r="K57" s="8" t="s">
        <v>615</v>
      </c>
      <c r="L57" s="8" t="s">
        <v>616</v>
      </c>
      <c r="M57" s="8" t="s">
        <v>62</v>
      </c>
      <c r="N57" s="8" t="s">
        <v>617</v>
      </c>
      <c r="O57" s="8" t="s">
        <v>618</v>
      </c>
      <c r="P57" s="8" t="s">
        <v>191</v>
      </c>
      <c r="Q57" s="8" t="s">
        <v>619</v>
      </c>
      <c r="R57" s="8" t="s">
        <v>620</v>
      </c>
      <c r="S57" s="8" t="s">
        <v>621</v>
      </c>
      <c r="T57" s="8" t="s">
        <v>39</v>
      </c>
      <c r="U57" s="8" t="s">
        <v>39</v>
      </c>
      <c r="V57" s="8" t="s">
        <v>39</v>
      </c>
      <c r="W57" s="8" t="s">
        <v>39</v>
      </c>
      <c r="X57" s="8" t="s">
        <v>447</v>
      </c>
      <c r="Y57" s="8" t="s">
        <v>42</v>
      </c>
    </row>
    <row r="58" spans="1:25" ht="69">
      <c r="A58" s="8" t="s">
        <v>622</v>
      </c>
      <c r="B58" s="8" t="s">
        <v>2252</v>
      </c>
      <c r="C58" s="8">
        <v>2</v>
      </c>
      <c r="D58" s="8" t="s">
        <v>2281</v>
      </c>
      <c r="E58" s="8" t="s">
        <v>2282</v>
      </c>
      <c r="F58" s="8" t="s">
        <v>2288</v>
      </c>
      <c r="G58" s="8" t="s">
        <v>2289</v>
      </c>
      <c r="H58" s="8" t="s">
        <v>623</v>
      </c>
      <c r="I58" s="8" t="s">
        <v>624</v>
      </c>
      <c r="J58" s="8" t="s">
        <v>625</v>
      </c>
      <c r="K58" s="8" t="s">
        <v>626</v>
      </c>
      <c r="L58" s="8" t="s">
        <v>627</v>
      </c>
      <c r="M58" s="8" t="s">
        <v>32</v>
      </c>
      <c r="N58" s="8" t="s">
        <v>628</v>
      </c>
      <c r="O58" s="8" t="s">
        <v>629</v>
      </c>
      <c r="P58" s="8" t="s">
        <v>35</v>
      </c>
      <c r="Q58" s="8" t="s">
        <v>630</v>
      </c>
      <c r="R58" s="8" t="s">
        <v>631</v>
      </c>
      <c r="S58" s="8" t="s">
        <v>632</v>
      </c>
      <c r="T58" s="8" t="s">
        <v>39</v>
      </c>
      <c r="U58" s="8" t="s">
        <v>39</v>
      </c>
      <c r="V58" s="8" t="s">
        <v>39</v>
      </c>
      <c r="W58" s="8" t="s">
        <v>39</v>
      </c>
      <c r="X58" s="8" t="s">
        <v>447</v>
      </c>
      <c r="Y58" s="8" t="s">
        <v>42</v>
      </c>
    </row>
    <row r="59" spans="1:25" ht="27.6">
      <c r="A59" s="8" t="s">
        <v>633</v>
      </c>
      <c r="B59" s="8" t="s">
        <v>2252</v>
      </c>
      <c r="C59" s="8">
        <v>2</v>
      </c>
      <c r="D59" s="8" t="s">
        <v>2281</v>
      </c>
      <c r="E59" s="8" t="s">
        <v>2282</v>
      </c>
      <c r="F59" s="8" t="s">
        <v>2283</v>
      </c>
      <c r="G59" s="8" t="s">
        <v>2284</v>
      </c>
      <c r="H59" s="8" t="s">
        <v>634</v>
      </c>
      <c r="I59" s="8" t="s">
        <v>635</v>
      </c>
      <c r="J59" s="8" t="s">
        <v>636</v>
      </c>
      <c r="K59" s="8" t="s">
        <v>637</v>
      </c>
      <c r="L59" s="8" t="s">
        <v>638</v>
      </c>
      <c r="M59" s="8" t="s">
        <v>62</v>
      </c>
      <c r="N59" s="8" t="s">
        <v>639</v>
      </c>
      <c r="O59" s="8" t="s">
        <v>2296</v>
      </c>
      <c r="P59" s="8" t="s">
        <v>65</v>
      </c>
      <c r="Q59" s="8" t="s">
        <v>641</v>
      </c>
      <c r="R59" s="8" t="s">
        <v>642</v>
      </c>
      <c r="S59" s="8" t="s">
        <v>643</v>
      </c>
      <c r="T59" s="8" t="s">
        <v>39</v>
      </c>
      <c r="U59" s="8" t="s">
        <v>39</v>
      </c>
      <c r="V59" s="8" t="s">
        <v>39</v>
      </c>
      <c r="W59" s="8" t="s">
        <v>39</v>
      </c>
      <c r="X59" s="8" t="s">
        <v>447</v>
      </c>
      <c r="Y59" s="8" t="s">
        <v>55</v>
      </c>
    </row>
    <row r="60" spans="1:25" ht="41.4">
      <c r="A60" s="8" t="s">
        <v>644</v>
      </c>
      <c r="B60" s="8" t="s">
        <v>2252</v>
      </c>
      <c r="C60" s="8">
        <v>2</v>
      </c>
      <c r="D60" s="8" t="s">
        <v>2281</v>
      </c>
      <c r="E60" s="8" t="s">
        <v>2282</v>
      </c>
      <c r="F60" s="8" t="s">
        <v>2283</v>
      </c>
      <c r="G60" s="8" t="s">
        <v>2284</v>
      </c>
      <c r="H60" s="8" t="s">
        <v>645</v>
      </c>
      <c r="I60" s="8" t="s">
        <v>2297</v>
      </c>
      <c r="J60" s="8" t="s">
        <v>2298</v>
      </c>
      <c r="K60" s="8" t="s">
        <v>648</v>
      </c>
      <c r="L60" s="8" t="s">
        <v>649</v>
      </c>
      <c r="M60" s="8" t="s">
        <v>32</v>
      </c>
      <c r="N60" s="8" t="s">
        <v>650</v>
      </c>
      <c r="O60" s="8" t="s">
        <v>2299</v>
      </c>
      <c r="P60" s="8" t="s">
        <v>65</v>
      </c>
      <c r="Q60" s="8" t="s">
        <v>652</v>
      </c>
      <c r="R60" s="8" t="s">
        <v>653</v>
      </c>
      <c r="S60" s="8" t="s">
        <v>654</v>
      </c>
      <c r="T60" s="8" t="s">
        <v>39</v>
      </c>
      <c r="U60" s="8" t="s">
        <v>39</v>
      </c>
      <c r="V60" s="8" t="s">
        <v>39</v>
      </c>
      <c r="W60" s="8" t="s">
        <v>39</v>
      </c>
      <c r="X60" s="8" t="s">
        <v>447</v>
      </c>
      <c r="Y60" s="8" t="s">
        <v>55</v>
      </c>
    </row>
    <row r="61" spans="1:25" ht="41.4">
      <c r="A61" s="8" t="s">
        <v>655</v>
      </c>
      <c r="B61" s="8" t="s">
        <v>2252</v>
      </c>
      <c r="C61" s="8">
        <v>2</v>
      </c>
      <c r="D61" s="8" t="s">
        <v>2281</v>
      </c>
      <c r="E61" s="8" t="s">
        <v>2282</v>
      </c>
      <c r="F61" s="8" t="s">
        <v>2283</v>
      </c>
      <c r="G61" s="8" t="s">
        <v>2284</v>
      </c>
      <c r="H61" s="8" t="s">
        <v>656</v>
      </c>
      <c r="I61" s="8" t="s">
        <v>657</v>
      </c>
      <c r="J61" s="8" t="s">
        <v>658</v>
      </c>
      <c r="K61" s="8" t="s">
        <v>659</v>
      </c>
      <c r="L61" s="8" t="s">
        <v>138</v>
      </c>
      <c r="M61" s="8" t="s">
        <v>62</v>
      </c>
      <c r="N61" s="8" t="s">
        <v>660</v>
      </c>
      <c r="O61" s="8" t="s">
        <v>661</v>
      </c>
      <c r="P61" s="8" t="s">
        <v>35</v>
      </c>
      <c r="Q61" s="8" t="s">
        <v>662</v>
      </c>
      <c r="R61" s="8" t="s">
        <v>663</v>
      </c>
      <c r="S61" s="8" t="s">
        <v>578</v>
      </c>
      <c r="T61" s="8" t="s">
        <v>39</v>
      </c>
      <c r="U61" s="8" t="s">
        <v>39</v>
      </c>
      <c r="V61" s="8" t="s">
        <v>39</v>
      </c>
      <c r="W61" s="8" t="s">
        <v>39</v>
      </c>
      <c r="X61" s="8" t="s">
        <v>447</v>
      </c>
      <c r="Y61" s="8" t="s">
        <v>55</v>
      </c>
    </row>
    <row r="62" spans="1:25" ht="41.4">
      <c r="A62" s="8" t="s">
        <v>664</v>
      </c>
      <c r="B62" s="8" t="s">
        <v>2252</v>
      </c>
      <c r="C62" s="8">
        <v>2</v>
      </c>
      <c r="D62" s="8" t="s">
        <v>2281</v>
      </c>
      <c r="E62" s="8" t="s">
        <v>2282</v>
      </c>
      <c r="F62" s="8" t="s">
        <v>2286</v>
      </c>
      <c r="G62" s="8" t="s">
        <v>2287</v>
      </c>
      <c r="H62" s="8" t="s">
        <v>665</v>
      </c>
      <c r="I62" s="8" t="s">
        <v>666</v>
      </c>
      <c r="J62" s="8" t="s">
        <v>667</v>
      </c>
      <c r="K62" s="8" t="s">
        <v>668</v>
      </c>
      <c r="L62" s="8" t="s">
        <v>2300</v>
      </c>
      <c r="M62" s="8" t="s">
        <v>76</v>
      </c>
      <c r="N62" s="8" t="s">
        <v>670</v>
      </c>
      <c r="O62" s="8" t="s">
        <v>671</v>
      </c>
      <c r="P62" s="8" t="s">
        <v>65</v>
      </c>
      <c r="Q62" s="8" t="s">
        <v>672</v>
      </c>
      <c r="R62" s="8" t="s">
        <v>673</v>
      </c>
      <c r="S62" s="8" t="s">
        <v>674</v>
      </c>
      <c r="T62" s="8" t="s">
        <v>39</v>
      </c>
      <c r="U62" s="8" t="s">
        <v>39</v>
      </c>
      <c r="V62" s="8" t="s">
        <v>39</v>
      </c>
      <c r="W62" s="8" t="s">
        <v>39</v>
      </c>
      <c r="X62" s="8" t="s">
        <v>447</v>
      </c>
      <c r="Y62" s="8" t="s">
        <v>55</v>
      </c>
    </row>
    <row r="63" spans="1:25" ht="69">
      <c r="A63" s="8" t="s">
        <v>675</v>
      </c>
      <c r="B63" s="8" t="s">
        <v>2252</v>
      </c>
      <c r="C63" s="8">
        <v>2</v>
      </c>
      <c r="D63" s="8" t="s">
        <v>2281</v>
      </c>
      <c r="E63" s="8" t="s">
        <v>2282</v>
      </c>
      <c r="F63" s="8" t="s">
        <v>2288</v>
      </c>
      <c r="G63" s="8" t="s">
        <v>2289</v>
      </c>
      <c r="H63" s="8" t="s">
        <v>676</v>
      </c>
      <c r="I63" s="8" t="s">
        <v>677</v>
      </c>
      <c r="J63" s="8" t="s">
        <v>678</v>
      </c>
      <c r="K63" s="8" t="s">
        <v>679</v>
      </c>
      <c r="L63" s="8" t="s">
        <v>680</v>
      </c>
      <c r="M63" s="8" t="s">
        <v>62</v>
      </c>
      <c r="N63" s="8" t="s">
        <v>681</v>
      </c>
      <c r="O63" s="8" t="s">
        <v>629</v>
      </c>
      <c r="P63" s="8" t="s">
        <v>65</v>
      </c>
      <c r="Q63" s="8" t="s">
        <v>682</v>
      </c>
      <c r="R63" s="8" t="s">
        <v>683</v>
      </c>
      <c r="S63" s="8" t="s">
        <v>684</v>
      </c>
      <c r="T63" s="8" t="s">
        <v>39</v>
      </c>
      <c r="U63" s="8" t="s">
        <v>39</v>
      </c>
      <c r="V63" s="8" t="s">
        <v>39</v>
      </c>
      <c r="W63" s="8" t="s">
        <v>39</v>
      </c>
      <c r="X63" s="8" t="s">
        <v>447</v>
      </c>
      <c r="Y63" s="8" t="s">
        <v>55</v>
      </c>
    </row>
    <row r="64" spans="1:25" ht="27.6">
      <c r="A64" s="8" t="s">
        <v>685</v>
      </c>
      <c r="B64" s="8" t="s">
        <v>2252</v>
      </c>
      <c r="C64" s="8">
        <v>2</v>
      </c>
      <c r="D64" s="8" t="s">
        <v>2281</v>
      </c>
      <c r="E64" s="8" t="s">
        <v>2282</v>
      </c>
      <c r="F64" s="8" t="s">
        <v>2286</v>
      </c>
      <c r="G64" s="8" t="s">
        <v>2287</v>
      </c>
      <c r="H64" s="8" t="s">
        <v>686</v>
      </c>
      <c r="I64" s="8" t="s">
        <v>687</v>
      </c>
      <c r="J64" s="8" t="s">
        <v>668</v>
      </c>
      <c r="K64" s="8" t="s">
        <v>688</v>
      </c>
      <c r="L64" s="8" t="s">
        <v>689</v>
      </c>
      <c r="M64" s="8" t="s">
        <v>62</v>
      </c>
      <c r="N64" s="8" t="s">
        <v>690</v>
      </c>
      <c r="O64" s="8" t="s">
        <v>691</v>
      </c>
      <c r="P64" s="8" t="s">
        <v>65</v>
      </c>
      <c r="Q64" s="8" t="s">
        <v>692</v>
      </c>
      <c r="R64" s="8" t="s">
        <v>693</v>
      </c>
      <c r="S64" s="8" t="s">
        <v>694</v>
      </c>
      <c r="T64" s="8" t="s">
        <v>39</v>
      </c>
      <c r="U64" s="8" t="s">
        <v>39</v>
      </c>
      <c r="V64" s="8" t="s">
        <v>39</v>
      </c>
      <c r="W64" s="8" t="s">
        <v>39</v>
      </c>
      <c r="X64" s="8" t="s">
        <v>447</v>
      </c>
      <c r="Y64" s="8" t="s">
        <v>55</v>
      </c>
    </row>
    <row r="65" spans="1:25" ht="41.4">
      <c r="A65" s="8" t="s">
        <v>695</v>
      </c>
      <c r="B65" s="8" t="s">
        <v>2252</v>
      </c>
      <c r="C65" s="8">
        <v>2</v>
      </c>
      <c r="D65" s="8" t="s">
        <v>2281</v>
      </c>
      <c r="E65" s="8" t="s">
        <v>2282</v>
      </c>
      <c r="F65" s="8" t="s">
        <v>2283</v>
      </c>
      <c r="G65" s="8" t="s">
        <v>2284</v>
      </c>
      <c r="H65" s="8" t="s">
        <v>696</v>
      </c>
      <c r="I65" s="8" t="s">
        <v>697</v>
      </c>
      <c r="J65" s="8" t="s">
        <v>698</v>
      </c>
      <c r="K65" s="8" t="s">
        <v>699</v>
      </c>
      <c r="L65" s="8" t="s">
        <v>700</v>
      </c>
      <c r="M65" s="8" t="s">
        <v>76</v>
      </c>
      <c r="N65" s="8" t="s">
        <v>701</v>
      </c>
      <c r="O65" s="8" t="s">
        <v>702</v>
      </c>
      <c r="P65" s="8" t="s">
        <v>35</v>
      </c>
      <c r="Q65" s="8" t="s">
        <v>703</v>
      </c>
      <c r="R65" s="8" t="s">
        <v>704</v>
      </c>
      <c r="S65" s="8" t="s">
        <v>705</v>
      </c>
      <c r="T65" s="8" t="s">
        <v>39</v>
      </c>
      <c r="U65" s="8" t="s">
        <v>39</v>
      </c>
      <c r="V65" s="8" t="s">
        <v>39</v>
      </c>
      <c r="W65" s="8" t="s">
        <v>39</v>
      </c>
      <c r="X65" s="8" t="s">
        <v>447</v>
      </c>
      <c r="Y65" s="8" t="s">
        <v>55</v>
      </c>
    </row>
    <row r="66" spans="1:25" ht="27.6">
      <c r="A66" s="8" t="s">
        <v>706</v>
      </c>
      <c r="B66" s="8" t="s">
        <v>2252</v>
      </c>
      <c r="C66" s="8">
        <v>2</v>
      </c>
      <c r="D66" s="8" t="s">
        <v>2281</v>
      </c>
      <c r="E66" s="8" t="s">
        <v>2282</v>
      </c>
      <c r="F66" s="8" t="s">
        <v>2283</v>
      </c>
      <c r="G66" s="8" t="s">
        <v>2284</v>
      </c>
      <c r="H66" s="8" t="s">
        <v>707</v>
      </c>
      <c r="I66" s="8" t="s">
        <v>2301</v>
      </c>
      <c r="J66" s="8" t="s">
        <v>2302</v>
      </c>
      <c r="K66" s="8" t="s">
        <v>710</v>
      </c>
      <c r="L66" s="8" t="s">
        <v>711</v>
      </c>
      <c r="M66" s="8" t="s">
        <v>62</v>
      </c>
      <c r="N66" s="8" t="s">
        <v>712</v>
      </c>
      <c r="O66" s="8" t="s">
        <v>713</v>
      </c>
      <c r="P66" s="8" t="s">
        <v>191</v>
      </c>
      <c r="Q66" s="8" t="s">
        <v>619</v>
      </c>
      <c r="R66" s="8" t="s">
        <v>714</v>
      </c>
      <c r="S66" s="8" t="s">
        <v>715</v>
      </c>
      <c r="T66" s="8" t="s">
        <v>39</v>
      </c>
      <c r="U66" s="8" t="s">
        <v>39</v>
      </c>
      <c r="V66" s="8" t="s">
        <v>39</v>
      </c>
      <c r="W66" s="8" t="s">
        <v>39</v>
      </c>
      <c r="X66" s="8" t="s">
        <v>447</v>
      </c>
      <c r="Y66" s="8" t="s">
        <v>55</v>
      </c>
    </row>
    <row r="67" spans="1:25" ht="41.4">
      <c r="A67" s="8" t="s">
        <v>716</v>
      </c>
      <c r="B67" s="8" t="s">
        <v>2252</v>
      </c>
      <c r="C67" s="8">
        <v>2</v>
      </c>
      <c r="D67" s="8" t="s">
        <v>2281</v>
      </c>
      <c r="E67" s="8" t="s">
        <v>2282</v>
      </c>
      <c r="F67" s="8" t="s">
        <v>2283</v>
      </c>
      <c r="G67" s="8" t="s">
        <v>2284</v>
      </c>
      <c r="H67" s="8" t="s">
        <v>717</v>
      </c>
      <c r="I67" s="8" t="s">
        <v>718</v>
      </c>
      <c r="J67" s="8" t="s">
        <v>719</v>
      </c>
      <c r="K67" s="8" t="s">
        <v>720</v>
      </c>
      <c r="L67" s="8" t="s">
        <v>721</v>
      </c>
      <c r="M67" s="8" t="s">
        <v>32</v>
      </c>
      <c r="N67" s="8" t="s">
        <v>722</v>
      </c>
      <c r="O67" s="8" t="s">
        <v>723</v>
      </c>
      <c r="P67" s="8" t="s">
        <v>191</v>
      </c>
      <c r="Q67" s="8" t="s">
        <v>724</v>
      </c>
      <c r="R67" s="8" t="s">
        <v>725</v>
      </c>
      <c r="S67" s="8" t="s">
        <v>726</v>
      </c>
      <c r="T67" s="8" t="s">
        <v>39</v>
      </c>
      <c r="U67" s="8" t="s">
        <v>39</v>
      </c>
      <c r="V67" s="8" t="s">
        <v>39</v>
      </c>
      <c r="W67" s="8" t="s">
        <v>39</v>
      </c>
      <c r="X67" s="8" t="s">
        <v>447</v>
      </c>
      <c r="Y67" s="8" t="s">
        <v>42</v>
      </c>
    </row>
    <row r="68" spans="1:25" ht="41.4">
      <c r="A68" s="8" t="s">
        <v>727</v>
      </c>
      <c r="B68" s="8" t="s">
        <v>2252</v>
      </c>
      <c r="C68" s="8">
        <v>2</v>
      </c>
      <c r="D68" s="8" t="s">
        <v>2281</v>
      </c>
      <c r="E68" s="8" t="s">
        <v>2282</v>
      </c>
      <c r="F68" s="8" t="s">
        <v>2283</v>
      </c>
      <c r="G68" s="8" t="s">
        <v>2284</v>
      </c>
      <c r="H68" s="8" t="s">
        <v>728</v>
      </c>
      <c r="I68" s="8" t="s">
        <v>729</v>
      </c>
      <c r="J68" s="8" t="s">
        <v>730</v>
      </c>
      <c r="K68" s="8" t="s">
        <v>731</v>
      </c>
      <c r="L68" s="8" t="s">
        <v>732</v>
      </c>
      <c r="M68" s="8" t="s">
        <v>76</v>
      </c>
      <c r="N68" s="8" t="s">
        <v>733</v>
      </c>
      <c r="O68" s="8" t="s">
        <v>734</v>
      </c>
      <c r="P68" s="8" t="s">
        <v>191</v>
      </c>
      <c r="Q68" s="8" t="s">
        <v>735</v>
      </c>
      <c r="R68" s="8" t="s">
        <v>736</v>
      </c>
      <c r="S68" s="8" t="s">
        <v>737</v>
      </c>
      <c r="T68" s="8" t="s">
        <v>39</v>
      </c>
      <c r="U68" s="8" t="s">
        <v>39</v>
      </c>
      <c r="V68" s="8" t="s">
        <v>39</v>
      </c>
      <c r="W68" s="8" t="s">
        <v>39</v>
      </c>
      <c r="X68" s="8" t="s">
        <v>447</v>
      </c>
      <c r="Y68" s="8" t="s">
        <v>55</v>
      </c>
    </row>
    <row r="69" spans="1:25" ht="41.4">
      <c r="A69" s="8" t="s">
        <v>738</v>
      </c>
      <c r="B69" s="8" t="s">
        <v>2252</v>
      </c>
      <c r="C69" s="8">
        <v>2</v>
      </c>
      <c r="D69" s="8" t="s">
        <v>2281</v>
      </c>
      <c r="E69" s="8" t="s">
        <v>2282</v>
      </c>
      <c r="F69" s="8" t="s">
        <v>2283</v>
      </c>
      <c r="G69" s="8" t="s">
        <v>2284</v>
      </c>
      <c r="H69" s="8" t="s">
        <v>739</v>
      </c>
      <c r="I69" s="8" t="s">
        <v>729</v>
      </c>
      <c r="J69" s="8" t="s">
        <v>740</v>
      </c>
      <c r="K69" s="8" t="s">
        <v>741</v>
      </c>
      <c r="L69" s="8" t="s">
        <v>742</v>
      </c>
      <c r="M69" s="8" t="s">
        <v>76</v>
      </c>
      <c r="N69" s="8" t="s">
        <v>743</v>
      </c>
      <c r="O69" s="8" t="s">
        <v>744</v>
      </c>
      <c r="P69" s="8" t="s">
        <v>191</v>
      </c>
      <c r="Q69" s="8" t="s">
        <v>745</v>
      </c>
      <c r="R69" s="8" t="s">
        <v>746</v>
      </c>
      <c r="S69" s="8" t="s">
        <v>536</v>
      </c>
      <c r="T69" s="8" t="s">
        <v>39</v>
      </c>
      <c r="U69" s="8" t="s">
        <v>39</v>
      </c>
      <c r="V69" s="8" t="s">
        <v>39</v>
      </c>
      <c r="W69" s="8" t="s">
        <v>39</v>
      </c>
      <c r="X69" s="8" t="s">
        <v>447</v>
      </c>
      <c r="Y69" s="8" t="s">
        <v>55</v>
      </c>
    </row>
    <row r="70" spans="1:25" ht="27.6">
      <c r="A70" s="8" t="s">
        <v>747</v>
      </c>
      <c r="B70" s="8" t="s">
        <v>2252</v>
      </c>
      <c r="C70" s="8">
        <v>2</v>
      </c>
      <c r="D70" s="8" t="s">
        <v>2281</v>
      </c>
      <c r="E70" s="8" t="s">
        <v>2282</v>
      </c>
      <c r="F70" s="8" t="s">
        <v>2283</v>
      </c>
      <c r="G70" s="8" t="s">
        <v>2284</v>
      </c>
      <c r="H70" s="8" t="s">
        <v>748</v>
      </c>
      <c r="I70" s="8" t="s">
        <v>528</v>
      </c>
      <c r="J70" s="8" t="s">
        <v>529</v>
      </c>
      <c r="K70" s="8" t="s">
        <v>749</v>
      </c>
      <c r="L70" s="8" t="s">
        <v>750</v>
      </c>
      <c r="M70" s="8" t="s">
        <v>88</v>
      </c>
      <c r="N70" s="8" t="s">
        <v>751</v>
      </c>
      <c r="O70" s="8" t="s">
        <v>2303</v>
      </c>
      <c r="P70" s="8" t="s">
        <v>191</v>
      </c>
      <c r="Q70" s="8" t="s">
        <v>753</v>
      </c>
      <c r="R70" s="8" t="s">
        <v>535</v>
      </c>
      <c r="S70" s="8" t="s">
        <v>754</v>
      </c>
      <c r="T70" s="8" t="s">
        <v>39</v>
      </c>
      <c r="U70" s="8" t="s">
        <v>39</v>
      </c>
      <c r="V70" s="8" t="s">
        <v>39</v>
      </c>
      <c r="W70" s="8" t="s">
        <v>39</v>
      </c>
      <c r="X70" s="8" t="s">
        <v>447</v>
      </c>
      <c r="Y70" s="8" t="s">
        <v>55</v>
      </c>
    </row>
    <row r="71" spans="1:25" ht="27.6">
      <c r="A71" s="8" t="s">
        <v>755</v>
      </c>
      <c r="B71" s="8" t="s">
        <v>2252</v>
      </c>
      <c r="C71" s="8">
        <v>2</v>
      </c>
      <c r="D71" s="8" t="s">
        <v>2281</v>
      </c>
      <c r="E71" s="8" t="s">
        <v>2282</v>
      </c>
      <c r="F71" s="8" t="s">
        <v>2286</v>
      </c>
      <c r="G71" s="8" t="s">
        <v>2287</v>
      </c>
      <c r="H71" s="8" t="s">
        <v>756</v>
      </c>
      <c r="I71" s="8" t="s">
        <v>757</v>
      </c>
      <c r="J71" s="8" t="s">
        <v>758</v>
      </c>
      <c r="K71" s="8" t="s">
        <v>759</v>
      </c>
      <c r="L71" s="8" t="s">
        <v>760</v>
      </c>
      <c r="M71" s="8" t="s">
        <v>76</v>
      </c>
      <c r="N71" s="8" t="s">
        <v>761</v>
      </c>
      <c r="O71" s="8" t="s">
        <v>762</v>
      </c>
      <c r="P71" s="8" t="s">
        <v>191</v>
      </c>
      <c r="Q71" s="8" t="s">
        <v>555</v>
      </c>
      <c r="R71" s="8" t="s">
        <v>763</v>
      </c>
      <c r="S71" s="8" t="s">
        <v>764</v>
      </c>
      <c r="T71" s="8" t="s">
        <v>39</v>
      </c>
      <c r="U71" s="8" t="s">
        <v>39</v>
      </c>
      <c r="V71" s="8" t="s">
        <v>39</v>
      </c>
      <c r="W71" s="8" t="s">
        <v>39</v>
      </c>
      <c r="X71" s="8" t="s">
        <v>447</v>
      </c>
      <c r="Y71" s="8" t="s">
        <v>55</v>
      </c>
    </row>
    <row r="72" spans="1:25" ht="41.4">
      <c r="A72" s="8" t="s">
        <v>765</v>
      </c>
      <c r="B72" s="8" t="s">
        <v>2252</v>
      </c>
      <c r="C72" s="8">
        <v>2</v>
      </c>
      <c r="D72" s="8" t="s">
        <v>2281</v>
      </c>
      <c r="E72" s="8" t="s">
        <v>2282</v>
      </c>
      <c r="F72" s="8" t="s">
        <v>2283</v>
      </c>
      <c r="G72" s="8" t="s">
        <v>2284</v>
      </c>
      <c r="H72" s="8" t="s">
        <v>766</v>
      </c>
      <c r="I72" s="8" t="s">
        <v>729</v>
      </c>
      <c r="J72" s="8" t="s">
        <v>767</v>
      </c>
      <c r="K72" s="8" t="s">
        <v>768</v>
      </c>
      <c r="L72" s="8" t="s">
        <v>769</v>
      </c>
      <c r="M72" s="8" t="s">
        <v>76</v>
      </c>
      <c r="N72" s="8" t="s">
        <v>770</v>
      </c>
      <c r="O72" s="8" t="s">
        <v>2304</v>
      </c>
      <c r="P72" s="8" t="s">
        <v>191</v>
      </c>
      <c r="Q72" s="8" t="s">
        <v>772</v>
      </c>
      <c r="R72" s="8" t="s">
        <v>773</v>
      </c>
      <c r="S72" s="8" t="s">
        <v>774</v>
      </c>
      <c r="T72" s="8" t="s">
        <v>39</v>
      </c>
      <c r="U72" s="8" t="s">
        <v>39</v>
      </c>
      <c r="V72" s="8" t="s">
        <v>39</v>
      </c>
      <c r="W72" s="8" t="s">
        <v>39</v>
      </c>
      <c r="X72" s="8" t="s">
        <v>447</v>
      </c>
      <c r="Y72" s="8" t="s">
        <v>55</v>
      </c>
    </row>
    <row r="73" spans="1:25" ht="27.6">
      <c r="A73" s="8" t="s">
        <v>775</v>
      </c>
      <c r="B73" s="8" t="s">
        <v>2252</v>
      </c>
      <c r="C73" s="8">
        <v>2</v>
      </c>
      <c r="D73" s="8" t="s">
        <v>2281</v>
      </c>
      <c r="E73" s="8" t="s">
        <v>2282</v>
      </c>
      <c r="F73" s="8" t="s">
        <v>2305</v>
      </c>
      <c r="G73" s="8" t="s">
        <v>2306</v>
      </c>
      <c r="H73" s="8" t="s">
        <v>776</v>
      </c>
      <c r="I73" s="8" t="s">
        <v>777</v>
      </c>
      <c r="J73" s="8" t="s">
        <v>778</v>
      </c>
      <c r="K73" s="8" t="s">
        <v>779</v>
      </c>
      <c r="L73" s="8" t="s">
        <v>780</v>
      </c>
      <c r="M73" s="8" t="s">
        <v>88</v>
      </c>
      <c r="N73" s="8" t="s">
        <v>781</v>
      </c>
      <c r="O73" s="8" t="s">
        <v>782</v>
      </c>
      <c r="P73" s="8" t="s">
        <v>191</v>
      </c>
      <c r="Q73" s="8" t="s">
        <v>783</v>
      </c>
      <c r="R73" s="8" t="s">
        <v>784</v>
      </c>
      <c r="S73" s="8" t="s">
        <v>785</v>
      </c>
      <c r="T73" s="8" t="s">
        <v>39</v>
      </c>
      <c r="U73" s="8" t="s">
        <v>39</v>
      </c>
      <c r="V73" s="8" t="s">
        <v>39</v>
      </c>
      <c r="W73" s="8" t="s">
        <v>39</v>
      </c>
      <c r="X73" s="8" t="s">
        <v>447</v>
      </c>
      <c r="Y73" s="8" t="s">
        <v>55</v>
      </c>
    </row>
    <row r="74" spans="1:25" ht="41.4">
      <c r="A74" s="8" t="s">
        <v>786</v>
      </c>
      <c r="B74" s="8" t="s">
        <v>2252</v>
      </c>
      <c r="C74" s="8">
        <v>2</v>
      </c>
      <c r="D74" s="8" t="s">
        <v>2281</v>
      </c>
      <c r="E74" s="8" t="s">
        <v>2282</v>
      </c>
      <c r="F74" s="8" t="s">
        <v>2286</v>
      </c>
      <c r="G74" s="8" t="s">
        <v>2287</v>
      </c>
      <c r="H74" s="8" t="s">
        <v>787</v>
      </c>
      <c r="I74" s="8" t="s">
        <v>592</v>
      </c>
      <c r="J74" s="8" t="s">
        <v>788</v>
      </c>
      <c r="K74" s="8" t="s">
        <v>789</v>
      </c>
      <c r="L74" s="8" t="s">
        <v>790</v>
      </c>
      <c r="M74" s="8" t="s">
        <v>62</v>
      </c>
      <c r="N74" s="8" t="s">
        <v>791</v>
      </c>
      <c r="O74" s="8" t="s">
        <v>792</v>
      </c>
      <c r="P74" s="8" t="s">
        <v>191</v>
      </c>
      <c r="Q74" s="8" t="s">
        <v>793</v>
      </c>
      <c r="R74" s="8" t="s">
        <v>794</v>
      </c>
      <c r="S74" s="8" t="s">
        <v>795</v>
      </c>
      <c r="T74" s="8" t="s">
        <v>39</v>
      </c>
      <c r="U74" s="8" t="s">
        <v>39</v>
      </c>
      <c r="V74" s="8" t="s">
        <v>39</v>
      </c>
      <c r="W74" s="8" t="s">
        <v>39</v>
      </c>
      <c r="X74" s="8" t="s">
        <v>447</v>
      </c>
      <c r="Y74" s="8" t="s">
        <v>55</v>
      </c>
    </row>
    <row r="75" spans="1:25" ht="27.6">
      <c r="A75" s="8" t="s">
        <v>796</v>
      </c>
      <c r="B75" s="8" t="s">
        <v>2252</v>
      </c>
      <c r="C75" s="8">
        <v>2</v>
      </c>
      <c r="D75" s="8" t="s">
        <v>2281</v>
      </c>
      <c r="E75" s="8" t="s">
        <v>2282</v>
      </c>
      <c r="F75" s="8" t="s">
        <v>2286</v>
      </c>
      <c r="G75" s="8" t="s">
        <v>2287</v>
      </c>
      <c r="H75" s="8" t="s">
        <v>797</v>
      </c>
      <c r="I75" s="8" t="s">
        <v>592</v>
      </c>
      <c r="J75" s="8" t="s">
        <v>798</v>
      </c>
      <c r="K75" s="8" t="s">
        <v>799</v>
      </c>
      <c r="L75" s="8" t="s">
        <v>789</v>
      </c>
      <c r="M75" s="8" t="s">
        <v>32</v>
      </c>
      <c r="N75" s="8" t="s">
        <v>800</v>
      </c>
      <c r="O75" s="8" t="s">
        <v>801</v>
      </c>
      <c r="P75" s="8" t="s">
        <v>191</v>
      </c>
      <c r="Q75" s="8" t="s">
        <v>802</v>
      </c>
      <c r="R75" s="8" t="s">
        <v>803</v>
      </c>
      <c r="S75" s="8" t="s">
        <v>804</v>
      </c>
      <c r="T75" s="8" t="s">
        <v>39</v>
      </c>
      <c r="U75" s="8" t="s">
        <v>39</v>
      </c>
      <c r="V75" s="8" t="s">
        <v>39</v>
      </c>
      <c r="W75" s="8" t="s">
        <v>39</v>
      </c>
      <c r="X75" s="8" t="s">
        <v>447</v>
      </c>
      <c r="Y75" s="8" t="s">
        <v>55</v>
      </c>
    </row>
    <row r="76" spans="1:25" ht="41.4">
      <c r="A76" s="8" t="s">
        <v>805</v>
      </c>
      <c r="B76" s="8" t="s">
        <v>2252</v>
      </c>
      <c r="C76" s="8">
        <v>2</v>
      </c>
      <c r="D76" s="8" t="s">
        <v>2281</v>
      </c>
      <c r="E76" s="8" t="s">
        <v>2282</v>
      </c>
      <c r="F76" s="8" t="s">
        <v>2286</v>
      </c>
      <c r="G76" s="8" t="s">
        <v>2287</v>
      </c>
      <c r="H76" s="8" t="s">
        <v>806</v>
      </c>
      <c r="I76" s="8" t="s">
        <v>807</v>
      </c>
      <c r="J76" s="8" t="s">
        <v>616</v>
      </c>
      <c r="K76" s="8" t="s">
        <v>808</v>
      </c>
      <c r="L76" s="8" t="s">
        <v>809</v>
      </c>
      <c r="M76" s="8" t="s">
        <v>32</v>
      </c>
      <c r="N76" s="8" t="s">
        <v>810</v>
      </c>
      <c r="O76" s="8" t="s">
        <v>811</v>
      </c>
      <c r="P76" s="8" t="s">
        <v>65</v>
      </c>
      <c r="Q76" s="8" t="s">
        <v>555</v>
      </c>
      <c r="R76" s="8" t="s">
        <v>812</v>
      </c>
      <c r="S76" s="8" t="s">
        <v>804</v>
      </c>
      <c r="T76" s="8" t="s">
        <v>39</v>
      </c>
      <c r="U76" s="8" t="s">
        <v>39</v>
      </c>
      <c r="V76" s="8" t="s">
        <v>39</v>
      </c>
      <c r="W76" s="8" t="s">
        <v>39</v>
      </c>
      <c r="X76" s="8" t="s">
        <v>447</v>
      </c>
      <c r="Y76" s="8" t="s">
        <v>55</v>
      </c>
    </row>
    <row r="77" spans="1:25" ht="41.4">
      <c r="A77" s="8" t="s">
        <v>813</v>
      </c>
      <c r="B77" s="8" t="s">
        <v>2252</v>
      </c>
      <c r="C77" s="8">
        <v>2</v>
      </c>
      <c r="D77" s="8" t="s">
        <v>2281</v>
      </c>
      <c r="E77" s="8" t="s">
        <v>2282</v>
      </c>
      <c r="F77" s="8" t="s">
        <v>2305</v>
      </c>
      <c r="G77" s="8" t="s">
        <v>2306</v>
      </c>
      <c r="H77" s="8" t="s">
        <v>814</v>
      </c>
      <c r="I77" s="8" t="s">
        <v>815</v>
      </c>
      <c r="J77" s="8" t="s">
        <v>816</v>
      </c>
      <c r="K77" s="8" t="s">
        <v>817</v>
      </c>
      <c r="L77" s="8" t="s">
        <v>818</v>
      </c>
      <c r="M77" s="8" t="s">
        <v>88</v>
      </c>
      <c r="N77" s="8" t="s">
        <v>819</v>
      </c>
      <c r="O77" s="8" t="s">
        <v>820</v>
      </c>
      <c r="P77" s="8" t="s">
        <v>65</v>
      </c>
      <c r="Q77" s="8" t="s">
        <v>821</v>
      </c>
      <c r="R77" s="8" t="s">
        <v>822</v>
      </c>
      <c r="S77" s="8" t="s">
        <v>823</v>
      </c>
      <c r="T77" s="8" t="s">
        <v>39</v>
      </c>
      <c r="U77" s="8" t="s">
        <v>39</v>
      </c>
      <c r="V77" s="8" t="s">
        <v>39</v>
      </c>
      <c r="W77" s="8" t="s">
        <v>39</v>
      </c>
      <c r="X77" s="8" t="s">
        <v>447</v>
      </c>
      <c r="Y77" s="8" t="s">
        <v>55</v>
      </c>
    </row>
    <row r="78" spans="1:25" ht="41.4">
      <c r="A78" s="8" t="s">
        <v>824</v>
      </c>
      <c r="B78" s="8" t="s">
        <v>2252</v>
      </c>
      <c r="C78" s="8">
        <v>2</v>
      </c>
      <c r="D78" s="8" t="s">
        <v>2281</v>
      </c>
      <c r="E78" s="8" t="s">
        <v>2282</v>
      </c>
      <c r="F78" s="8" t="s">
        <v>2305</v>
      </c>
      <c r="G78" s="8" t="s">
        <v>2306</v>
      </c>
      <c r="H78" s="8" t="s">
        <v>825</v>
      </c>
      <c r="I78" s="8" t="s">
        <v>826</v>
      </c>
      <c r="J78" s="8" t="s">
        <v>827</v>
      </c>
      <c r="K78" s="8" t="s">
        <v>828</v>
      </c>
      <c r="L78" s="8" t="s">
        <v>829</v>
      </c>
      <c r="M78" s="8" t="s">
        <v>76</v>
      </c>
      <c r="N78" s="8" t="s">
        <v>830</v>
      </c>
      <c r="O78" s="8" t="s">
        <v>831</v>
      </c>
      <c r="P78" s="8" t="s">
        <v>191</v>
      </c>
      <c r="Q78" s="8" t="s">
        <v>832</v>
      </c>
      <c r="R78" s="8" t="s">
        <v>833</v>
      </c>
      <c r="S78" s="8" t="s">
        <v>834</v>
      </c>
      <c r="T78" s="8" t="s">
        <v>39</v>
      </c>
      <c r="U78" s="8" t="s">
        <v>39</v>
      </c>
      <c r="V78" s="8" t="s">
        <v>39</v>
      </c>
      <c r="W78" s="8" t="s">
        <v>39</v>
      </c>
      <c r="X78" s="8" t="s">
        <v>447</v>
      </c>
      <c r="Y78" s="8" t="s">
        <v>55</v>
      </c>
    </row>
    <row r="79" spans="1:25" ht="41.4">
      <c r="A79" s="8" t="s">
        <v>835</v>
      </c>
      <c r="B79" s="8" t="s">
        <v>2252</v>
      </c>
      <c r="C79" s="8">
        <v>2</v>
      </c>
      <c r="D79" s="8" t="s">
        <v>2281</v>
      </c>
      <c r="E79" s="8" t="s">
        <v>2282</v>
      </c>
      <c r="F79" s="8" t="s">
        <v>2305</v>
      </c>
      <c r="G79" s="8" t="s">
        <v>2306</v>
      </c>
      <c r="H79" s="8" t="s">
        <v>836</v>
      </c>
      <c r="I79" s="8" t="s">
        <v>837</v>
      </c>
      <c r="J79" s="8" t="s">
        <v>148</v>
      </c>
      <c r="K79" s="8" t="s">
        <v>838</v>
      </c>
      <c r="L79" s="8" t="s">
        <v>839</v>
      </c>
      <c r="M79" s="8" t="s">
        <v>88</v>
      </c>
      <c r="N79" s="8" t="s">
        <v>840</v>
      </c>
      <c r="O79" s="8" t="s">
        <v>841</v>
      </c>
      <c r="P79" s="8" t="s">
        <v>191</v>
      </c>
      <c r="Q79" s="8" t="s">
        <v>842</v>
      </c>
      <c r="R79" s="8" t="s">
        <v>843</v>
      </c>
      <c r="S79" s="8" t="s">
        <v>844</v>
      </c>
      <c r="T79" s="8" t="s">
        <v>39</v>
      </c>
      <c r="U79" s="8" t="s">
        <v>39</v>
      </c>
      <c r="V79" s="8" t="s">
        <v>39</v>
      </c>
      <c r="W79" s="8" t="s">
        <v>39</v>
      </c>
      <c r="X79" s="8" t="s">
        <v>447</v>
      </c>
      <c r="Y79" s="8" t="s">
        <v>55</v>
      </c>
    </row>
    <row r="80" spans="1:25" ht="41.4">
      <c r="A80" s="8" t="s">
        <v>845</v>
      </c>
      <c r="B80" s="8" t="s">
        <v>2252</v>
      </c>
      <c r="C80" s="8">
        <v>2</v>
      </c>
      <c r="D80" s="8" t="s">
        <v>2281</v>
      </c>
      <c r="E80" s="8" t="s">
        <v>2282</v>
      </c>
      <c r="F80" s="8" t="s">
        <v>2305</v>
      </c>
      <c r="G80" s="8" t="s">
        <v>2306</v>
      </c>
      <c r="H80" s="8" t="s">
        <v>846</v>
      </c>
      <c r="I80" s="8" t="s">
        <v>847</v>
      </c>
      <c r="J80" s="8" t="s">
        <v>848</v>
      </c>
      <c r="K80" s="8" t="s">
        <v>849</v>
      </c>
      <c r="L80" s="8" t="s">
        <v>850</v>
      </c>
      <c r="M80" s="8" t="s">
        <v>76</v>
      </c>
      <c r="N80" s="8" t="s">
        <v>851</v>
      </c>
      <c r="O80" s="8" t="s">
        <v>852</v>
      </c>
      <c r="P80" s="8" t="s">
        <v>191</v>
      </c>
      <c r="Q80" s="8" t="s">
        <v>842</v>
      </c>
      <c r="R80" s="8" t="s">
        <v>853</v>
      </c>
      <c r="S80" s="8" t="s">
        <v>854</v>
      </c>
      <c r="T80" s="8" t="s">
        <v>39</v>
      </c>
      <c r="U80" s="8" t="s">
        <v>39</v>
      </c>
      <c r="V80" s="8" t="s">
        <v>39</v>
      </c>
      <c r="W80" s="8" t="s">
        <v>39</v>
      </c>
      <c r="X80" s="8" t="s">
        <v>447</v>
      </c>
      <c r="Y80" s="8" t="s">
        <v>42</v>
      </c>
    </row>
    <row r="81" spans="1:25" ht="41.4">
      <c r="A81" s="8" t="s">
        <v>855</v>
      </c>
      <c r="B81" s="8" t="s">
        <v>2252</v>
      </c>
      <c r="C81" s="8">
        <v>2</v>
      </c>
      <c r="D81" s="8" t="s">
        <v>2281</v>
      </c>
      <c r="E81" s="8" t="s">
        <v>2282</v>
      </c>
      <c r="F81" s="8" t="s">
        <v>2305</v>
      </c>
      <c r="G81" s="8" t="s">
        <v>2306</v>
      </c>
      <c r="H81" s="8" t="s">
        <v>856</v>
      </c>
      <c r="I81" s="8" t="s">
        <v>857</v>
      </c>
      <c r="J81" s="8" t="s">
        <v>858</v>
      </c>
      <c r="K81" s="8" t="s">
        <v>859</v>
      </c>
      <c r="L81" s="8" t="s">
        <v>860</v>
      </c>
      <c r="M81" s="8" t="s">
        <v>88</v>
      </c>
      <c r="N81" s="8" t="s">
        <v>861</v>
      </c>
      <c r="O81" s="8" t="s">
        <v>862</v>
      </c>
      <c r="P81" s="8" t="s">
        <v>191</v>
      </c>
      <c r="Q81" s="8" t="s">
        <v>842</v>
      </c>
      <c r="R81" s="8" t="s">
        <v>863</v>
      </c>
      <c r="S81" s="8" t="s">
        <v>864</v>
      </c>
      <c r="T81" s="8" t="s">
        <v>39</v>
      </c>
      <c r="U81" s="8" t="s">
        <v>39</v>
      </c>
      <c r="V81" s="8" t="s">
        <v>39</v>
      </c>
      <c r="W81" s="8" t="s">
        <v>39</v>
      </c>
      <c r="X81" s="8" t="s">
        <v>447</v>
      </c>
      <c r="Y81" s="8" t="s">
        <v>55</v>
      </c>
    </row>
    <row r="82" spans="1:25" ht="27.6">
      <c r="A82" s="8" t="s">
        <v>865</v>
      </c>
      <c r="B82" s="8" t="s">
        <v>2252</v>
      </c>
      <c r="C82" s="8">
        <v>2</v>
      </c>
      <c r="D82" s="8" t="s">
        <v>2281</v>
      </c>
      <c r="E82" s="8" t="s">
        <v>2282</v>
      </c>
      <c r="F82" s="8" t="s">
        <v>2305</v>
      </c>
      <c r="G82" s="8" t="s">
        <v>2306</v>
      </c>
      <c r="H82" s="8" t="s">
        <v>866</v>
      </c>
      <c r="I82" s="8" t="s">
        <v>867</v>
      </c>
      <c r="J82" s="8" t="s">
        <v>868</v>
      </c>
      <c r="K82" s="8" t="s">
        <v>869</v>
      </c>
      <c r="L82" s="8" t="s">
        <v>870</v>
      </c>
      <c r="M82" s="8" t="s">
        <v>76</v>
      </c>
      <c r="N82" s="8" t="s">
        <v>871</v>
      </c>
      <c r="O82" s="8" t="s">
        <v>872</v>
      </c>
      <c r="P82" s="8" t="s">
        <v>191</v>
      </c>
      <c r="Q82" s="8" t="s">
        <v>842</v>
      </c>
      <c r="R82" s="8" t="s">
        <v>873</v>
      </c>
      <c r="S82" s="8" t="s">
        <v>864</v>
      </c>
      <c r="T82" s="8" t="s">
        <v>39</v>
      </c>
      <c r="U82" s="8" t="s">
        <v>39</v>
      </c>
      <c r="V82" s="8" t="s">
        <v>39</v>
      </c>
      <c r="W82" s="8" t="s">
        <v>39</v>
      </c>
      <c r="X82" s="8" t="s">
        <v>447</v>
      </c>
      <c r="Y82" s="8" t="s">
        <v>55</v>
      </c>
    </row>
    <row r="83" spans="1:25" ht="27.6">
      <c r="A83" s="8" t="s">
        <v>874</v>
      </c>
      <c r="B83" s="8" t="s">
        <v>2252</v>
      </c>
      <c r="C83" s="8">
        <v>2</v>
      </c>
      <c r="D83" s="8" t="s">
        <v>2281</v>
      </c>
      <c r="E83" s="8" t="s">
        <v>2282</v>
      </c>
      <c r="F83" s="8" t="s">
        <v>2305</v>
      </c>
      <c r="G83" s="8" t="s">
        <v>2306</v>
      </c>
      <c r="H83" s="8" t="s">
        <v>875</v>
      </c>
      <c r="I83" s="8" t="s">
        <v>778</v>
      </c>
      <c r="J83" s="8" t="s">
        <v>876</v>
      </c>
      <c r="K83" s="8" t="s">
        <v>777</v>
      </c>
      <c r="L83" s="8" t="s">
        <v>877</v>
      </c>
      <c r="M83" s="8" t="s">
        <v>88</v>
      </c>
      <c r="N83" s="8" t="s">
        <v>878</v>
      </c>
      <c r="O83" s="8" t="s">
        <v>879</v>
      </c>
      <c r="P83" s="8" t="s">
        <v>65</v>
      </c>
      <c r="Q83" s="8" t="s">
        <v>880</v>
      </c>
      <c r="R83" s="8" t="s">
        <v>881</v>
      </c>
      <c r="S83" s="8" t="s">
        <v>823</v>
      </c>
      <c r="T83" s="8" t="s">
        <v>39</v>
      </c>
      <c r="U83" s="8" t="s">
        <v>39</v>
      </c>
      <c r="V83" s="8" t="s">
        <v>39</v>
      </c>
      <c r="W83" s="8" t="s">
        <v>39</v>
      </c>
      <c r="X83" s="8" t="s">
        <v>447</v>
      </c>
      <c r="Y83" s="8" t="s">
        <v>55</v>
      </c>
    </row>
    <row r="84" spans="1:25" ht="55.2">
      <c r="A84" s="8" t="s">
        <v>882</v>
      </c>
      <c r="B84" s="8" t="s">
        <v>2252</v>
      </c>
      <c r="C84" s="8">
        <v>2</v>
      </c>
      <c r="D84" s="8" t="s">
        <v>2281</v>
      </c>
      <c r="E84" s="8" t="s">
        <v>2282</v>
      </c>
      <c r="F84" s="8" t="s">
        <v>2305</v>
      </c>
      <c r="G84" s="8" t="s">
        <v>2306</v>
      </c>
      <c r="H84" s="8" t="s">
        <v>883</v>
      </c>
      <c r="I84" s="8" t="s">
        <v>884</v>
      </c>
      <c r="J84" s="8" t="s">
        <v>885</v>
      </c>
      <c r="K84" s="8" t="s">
        <v>886</v>
      </c>
      <c r="L84" s="8" t="s">
        <v>887</v>
      </c>
      <c r="M84" s="8" t="s">
        <v>62</v>
      </c>
      <c r="N84" s="8" t="s">
        <v>888</v>
      </c>
      <c r="O84" s="8" t="s">
        <v>2307</v>
      </c>
      <c r="P84" s="8" t="s">
        <v>191</v>
      </c>
      <c r="Q84" s="8" t="s">
        <v>890</v>
      </c>
      <c r="R84" s="8" t="s">
        <v>891</v>
      </c>
      <c r="S84" s="8" t="s">
        <v>892</v>
      </c>
      <c r="T84" s="8" t="s">
        <v>39</v>
      </c>
      <c r="U84" s="8" t="s">
        <v>39</v>
      </c>
      <c r="V84" s="8" t="s">
        <v>39</v>
      </c>
      <c r="W84" s="8" t="s">
        <v>39</v>
      </c>
      <c r="X84" s="8" t="s">
        <v>447</v>
      </c>
      <c r="Y84" s="8" t="s">
        <v>55</v>
      </c>
    </row>
    <row r="85" spans="1:25" ht="55.2">
      <c r="A85" s="8" t="s">
        <v>893</v>
      </c>
      <c r="B85" s="8" t="s">
        <v>2252</v>
      </c>
      <c r="C85" s="8">
        <v>2</v>
      </c>
      <c r="D85" s="8" t="s">
        <v>2281</v>
      </c>
      <c r="E85" s="8" t="s">
        <v>2282</v>
      </c>
      <c r="F85" s="8" t="s">
        <v>2305</v>
      </c>
      <c r="G85" s="8" t="s">
        <v>2306</v>
      </c>
      <c r="H85" s="8" t="s">
        <v>894</v>
      </c>
      <c r="I85" s="8" t="s">
        <v>884</v>
      </c>
      <c r="J85" s="8" t="s">
        <v>887</v>
      </c>
      <c r="K85" s="8" t="s">
        <v>885</v>
      </c>
      <c r="L85" s="8" t="s">
        <v>895</v>
      </c>
      <c r="M85" s="8" t="s">
        <v>88</v>
      </c>
      <c r="N85" s="8" t="s">
        <v>896</v>
      </c>
      <c r="O85" s="8" t="s">
        <v>2307</v>
      </c>
      <c r="P85" s="8" t="s">
        <v>191</v>
      </c>
      <c r="Q85" s="8" t="s">
        <v>890</v>
      </c>
      <c r="R85" s="8" t="s">
        <v>897</v>
      </c>
      <c r="S85" s="8" t="s">
        <v>898</v>
      </c>
      <c r="T85" s="8" t="s">
        <v>39</v>
      </c>
      <c r="U85" s="8" t="s">
        <v>39</v>
      </c>
      <c r="V85" s="8" t="s">
        <v>39</v>
      </c>
      <c r="W85" s="8" t="s">
        <v>39</v>
      </c>
      <c r="X85" s="8" t="s">
        <v>447</v>
      </c>
      <c r="Y85" s="8" t="s">
        <v>55</v>
      </c>
    </row>
    <row r="86" spans="1:25" ht="27.6">
      <c r="A86" s="8" t="s">
        <v>899</v>
      </c>
      <c r="B86" s="8" t="s">
        <v>2252</v>
      </c>
      <c r="C86" s="8">
        <v>2</v>
      </c>
      <c r="D86" s="8" t="s">
        <v>2281</v>
      </c>
      <c r="E86" s="8" t="s">
        <v>2282</v>
      </c>
      <c r="F86" s="8" t="s">
        <v>2305</v>
      </c>
      <c r="G86" s="8" t="s">
        <v>2306</v>
      </c>
      <c r="H86" s="8" t="s">
        <v>900</v>
      </c>
      <c r="I86" s="8" t="s">
        <v>901</v>
      </c>
      <c r="J86" s="8" t="s">
        <v>902</v>
      </c>
      <c r="K86" s="8" t="s">
        <v>903</v>
      </c>
      <c r="L86" s="8" t="s">
        <v>904</v>
      </c>
      <c r="M86" s="8" t="s">
        <v>88</v>
      </c>
      <c r="N86" s="8" t="s">
        <v>905</v>
      </c>
      <c r="O86" s="8" t="s">
        <v>906</v>
      </c>
      <c r="P86" s="8" t="s">
        <v>191</v>
      </c>
      <c r="Q86" s="8" t="s">
        <v>907</v>
      </c>
      <c r="R86" s="8" t="s">
        <v>908</v>
      </c>
      <c r="S86" s="8" t="s">
        <v>909</v>
      </c>
      <c r="T86" s="8" t="s">
        <v>39</v>
      </c>
      <c r="U86" s="8" t="s">
        <v>39</v>
      </c>
      <c r="V86" s="8" t="s">
        <v>39</v>
      </c>
      <c r="W86" s="8" t="s">
        <v>39</v>
      </c>
      <c r="X86" s="8" t="s">
        <v>447</v>
      </c>
      <c r="Y86" s="8" t="s">
        <v>42</v>
      </c>
    </row>
    <row r="87" spans="1:25" ht="41.4">
      <c r="A87" s="8" t="s">
        <v>910</v>
      </c>
      <c r="B87" s="8" t="s">
        <v>2252</v>
      </c>
      <c r="C87" s="8">
        <v>2</v>
      </c>
      <c r="D87" s="8" t="s">
        <v>2281</v>
      </c>
      <c r="E87" s="8" t="s">
        <v>2282</v>
      </c>
      <c r="F87" s="8" t="s">
        <v>2305</v>
      </c>
      <c r="G87" s="8" t="s">
        <v>2306</v>
      </c>
      <c r="H87" s="8" t="s">
        <v>911</v>
      </c>
      <c r="I87" s="8" t="s">
        <v>912</v>
      </c>
      <c r="J87" s="8" t="s">
        <v>913</v>
      </c>
      <c r="K87" s="8" t="s">
        <v>914</v>
      </c>
      <c r="L87" s="8" t="s">
        <v>915</v>
      </c>
      <c r="M87" s="8" t="s">
        <v>76</v>
      </c>
      <c r="N87" s="8" t="s">
        <v>916</v>
      </c>
      <c r="O87" s="8" t="s">
        <v>917</v>
      </c>
      <c r="P87" s="8" t="s">
        <v>191</v>
      </c>
      <c r="Q87" s="8" t="s">
        <v>918</v>
      </c>
      <c r="R87" s="8" t="s">
        <v>919</v>
      </c>
      <c r="S87" s="8" t="s">
        <v>920</v>
      </c>
      <c r="T87" s="8" t="s">
        <v>39</v>
      </c>
      <c r="U87" s="8" t="s">
        <v>39</v>
      </c>
      <c r="V87" s="8" t="s">
        <v>39</v>
      </c>
      <c r="W87" s="8" t="s">
        <v>39</v>
      </c>
      <c r="X87" s="8" t="s">
        <v>447</v>
      </c>
      <c r="Y87" s="8" t="s">
        <v>42</v>
      </c>
    </row>
    <row r="88" spans="1:25" ht="41.4">
      <c r="A88" s="8" t="s">
        <v>921</v>
      </c>
      <c r="B88" s="8" t="s">
        <v>2252</v>
      </c>
      <c r="C88" s="8">
        <v>2</v>
      </c>
      <c r="D88" s="8" t="s">
        <v>2281</v>
      </c>
      <c r="E88" s="8" t="s">
        <v>2282</v>
      </c>
      <c r="F88" s="8" t="s">
        <v>2305</v>
      </c>
      <c r="G88" s="8" t="s">
        <v>2306</v>
      </c>
      <c r="H88" s="8" t="s">
        <v>922</v>
      </c>
      <c r="I88" s="8" t="s">
        <v>923</v>
      </c>
      <c r="J88" s="8" t="s">
        <v>924</v>
      </c>
      <c r="K88" s="8" t="s">
        <v>925</v>
      </c>
      <c r="L88" s="8" t="s">
        <v>926</v>
      </c>
      <c r="M88" s="8" t="s">
        <v>88</v>
      </c>
      <c r="N88" s="8" t="s">
        <v>927</v>
      </c>
      <c r="O88" s="8" t="s">
        <v>928</v>
      </c>
      <c r="P88" s="8" t="s">
        <v>191</v>
      </c>
      <c r="Q88" s="8" t="s">
        <v>929</v>
      </c>
      <c r="R88" s="8" t="s">
        <v>930</v>
      </c>
      <c r="S88" s="8" t="s">
        <v>931</v>
      </c>
      <c r="T88" s="8" t="s">
        <v>39</v>
      </c>
      <c r="U88" s="8" t="s">
        <v>39</v>
      </c>
      <c r="V88" s="8" t="s">
        <v>39</v>
      </c>
      <c r="W88" s="8" t="s">
        <v>39</v>
      </c>
      <c r="X88" s="8" t="s">
        <v>447</v>
      </c>
      <c r="Y88" s="8" t="s">
        <v>55</v>
      </c>
    </row>
    <row r="89" spans="1:25" ht="69">
      <c r="A89" s="8" t="s">
        <v>932</v>
      </c>
      <c r="B89" s="8" t="s">
        <v>2252</v>
      </c>
      <c r="C89" s="8">
        <v>2</v>
      </c>
      <c r="D89" s="8" t="s">
        <v>2281</v>
      </c>
      <c r="E89" s="8" t="s">
        <v>2282</v>
      </c>
      <c r="F89" s="8" t="s">
        <v>2305</v>
      </c>
      <c r="G89" s="8" t="s">
        <v>2306</v>
      </c>
      <c r="H89" s="8" t="s">
        <v>933</v>
      </c>
      <c r="I89" s="8" t="s">
        <v>677</v>
      </c>
      <c r="J89" s="8" t="s">
        <v>678</v>
      </c>
      <c r="K89" s="8" t="s">
        <v>680</v>
      </c>
      <c r="L89" s="8" t="s">
        <v>679</v>
      </c>
      <c r="M89" s="8" t="s">
        <v>32</v>
      </c>
      <c r="N89" s="8" t="s">
        <v>934</v>
      </c>
      <c r="O89" s="8" t="s">
        <v>935</v>
      </c>
      <c r="P89" s="8" t="s">
        <v>191</v>
      </c>
      <c r="Q89" s="8" t="s">
        <v>936</v>
      </c>
      <c r="R89" s="8" t="s">
        <v>937</v>
      </c>
      <c r="S89" s="8" t="s">
        <v>938</v>
      </c>
      <c r="T89" s="8" t="s">
        <v>39</v>
      </c>
      <c r="U89" s="8" t="s">
        <v>39</v>
      </c>
      <c r="V89" s="8" t="s">
        <v>39</v>
      </c>
      <c r="W89" s="8" t="s">
        <v>39</v>
      </c>
      <c r="X89" s="8" t="s">
        <v>447</v>
      </c>
      <c r="Y89" s="8" t="s">
        <v>55</v>
      </c>
    </row>
    <row r="90" spans="1:25" ht="55.2">
      <c r="A90" s="8" t="s">
        <v>939</v>
      </c>
      <c r="B90" s="8" t="s">
        <v>2252</v>
      </c>
      <c r="C90" s="8">
        <v>2</v>
      </c>
      <c r="D90" s="8" t="s">
        <v>2281</v>
      </c>
      <c r="E90" s="8" t="s">
        <v>2282</v>
      </c>
      <c r="F90" s="8" t="s">
        <v>2305</v>
      </c>
      <c r="G90" s="8" t="s">
        <v>2306</v>
      </c>
      <c r="H90" s="8" t="s">
        <v>940</v>
      </c>
      <c r="I90" s="8" t="s">
        <v>902</v>
      </c>
      <c r="J90" s="8" t="s">
        <v>941</v>
      </c>
      <c r="K90" s="8" t="s">
        <v>942</v>
      </c>
      <c r="L90" s="8" t="s">
        <v>943</v>
      </c>
      <c r="M90" s="8" t="s">
        <v>32</v>
      </c>
      <c r="N90" s="8" t="s">
        <v>944</v>
      </c>
      <c r="O90" s="8" t="s">
        <v>945</v>
      </c>
      <c r="P90" s="8" t="s">
        <v>191</v>
      </c>
      <c r="Q90" s="8" t="s">
        <v>946</v>
      </c>
      <c r="R90" s="8" t="s">
        <v>947</v>
      </c>
      <c r="S90" s="8" t="s">
        <v>948</v>
      </c>
      <c r="T90" s="8" t="s">
        <v>39</v>
      </c>
      <c r="U90" s="8" t="s">
        <v>39</v>
      </c>
      <c r="V90" s="8" t="s">
        <v>39</v>
      </c>
      <c r="W90" s="8" t="s">
        <v>39</v>
      </c>
      <c r="X90" s="8" t="s">
        <v>447</v>
      </c>
      <c r="Y90" s="8" t="s">
        <v>55</v>
      </c>
    </row>
    <row r="91" spans="1:25" ht="41.4">
      <c r="A91" s="8" t="s">
        <v>949</v>
      </c>
      <c r="B91" s="8" t="s">
        <v>2252</v>
      </c>
      <c r="C91" s="8">
        <v>3</v>
      </c>
      <c r="D91" s="8" t="s">
        <v>2253</v>
      </c>
      <c r="E91" s="8" t="s">
        <v>950</v>
      </c>
      <c r="F91" s="8" t="s">
        <v>2308</v>
      </c>
      <c r="G91" s="8" t="s">
        <v>2309</v>
      </c>
      <c r="H91" s="8" t="s">
        <v>952</v>
      </c>
      <c r="I91" s="8" t="s">
        <v>953</v>
      </c>
      <c r="J91" s="8" t="s">
        <v>954</v>
      </c>
      <c r="K91" s="8" t="s">
        <v>955</v>
      </c>
      <c r="L91" s="8" t="s">
        <v>956</v>
      </c>
      <c r="M91" s="8" t="s">
        <v>88</v>
      </c>
      <c r="N91" s="8" t="s">
        <v>957</v>
      </c>
      <c r="O91" s="8" t="s">
        <v>958</v>
      </c>
      <c r="P91" s="8" t="s">
        <v>65</v>
      </c>
      <c r="Q91" s="8" t="s">
        <v>959</v>
      </c>
      <c r="R91" s="8" t="s">
        <v>960</v>
      </c>
      <c r="S91" s="8" t="s">
        <v>961</v>
      </c>
      <c r="T91" s="8" t="s">
        <v>39</v>
      </c>
      <c r="U91" s="8" t="s">
        <v>39</v>
      </c>
      <c r="V91" s="8" t="s">
        <v>39</v>
      </c>
      <c r="W91" s="8" t="s">
        <v>39</v>
      </c>
      <c r="X91" s="8" t="s">
        <v>962</v>
      </c>
      <c r="Y91" s="8" t="s">
        <v>55</v>
      </c>
    </row>
    <row r="92" spans="1:25" ht="41.4">
      <c r="A92" s="8" t="s">
        <v>963</v>
      </c>
      <c r="B92" s="8" t="s">
        <v>2252</v>
      </c>
      <c r="C92" s="8">
        <v>3</v>
      </c>
      <c r="D92" s="8" t="s">
        <v>2253</v>
      </c>
      <c r="E92" s="8" t="s">
        <v>950</v>
      </c>
      <c r="F92" s="8" t="s">
        <v>2308</v>
      </c>
      <c r="G92" s="8" t="s">
        <v>2309</v>
      </c>
      <c r="H92" s="8" t="s">
        <v>964</v>
      </c>
      <c r="I92" s="8" t="s">
        <v>965</v>
      </c>
      <c r="J92" s="8" t="s">
        <v>966</v>
      </c>
      <c r="K92" s="8" t="s">
        <v>967</v>
      </c>
      <c r="L92" s="8" t="s">
        <v>968</v>
      </c>
      <c r="M92" s="8" t="s">
        <v>88</v>
      </c>
      <c r="N92" s="8" t="s">
        <v>969</v>
      </c>
      <c r="O92" s="8" t="s">
        <v>970</v>
      </c>
      <c r="P92" s="8" t="s">
        <v>191</v>
      </c>
      <c r="Q92" s="8" t="s">
        <v>971</v>
      </c>
      <c r="R92" s="8" t="s">
        <v>972</v>
      </c>
      <c r="S92" s="8" t="s">
        <v>973</v>
      </c>
      <c r="T92" s="8" t="s">
        <v>39</v>
      </c>
      <c r="U92" s="8" t="s">
        <v>39</v>
      </c>
      <c r="V92" s="8" t="s">
        <v>39</v>
      </c>
      <c r="W92" s="8" t="s">
        <v>39</v>
      </c>
      <c r="X92" s="8" t="s">
        <v>962</v>
      </c>
      <c r="Y92" s="8" t="s">
        <v>42</v>
      </c>
    </row>
    <row r="93" spans="1:25" ht="27.6">
      <c r="A93" s="8" t="s">
        <v>974</v>
      </c>
      <c r="B93" s="8" t="s">
        <v>2252</v>
      </c>
      <c r="C93" s="8">
        <v>3</v>
      </c>
      <c r="D93" s="8" t="s">
        <v>2253</v>
      </c>
      <c r="E93" s="8" t="s">
        <v>950</v>
      </c>
      <c r="F93" s="8" t="s">
        <v>2308</v>
      </c>
      <c r="G93" s="8" t="s">
        <v>2309</v>
      </c>
      <c r="H93" s="8" t="s">
        <v>976</v>
      </c>
      <c r="I93" s="8" t="s">
        <v>977</v>
      </c>
      <c r="J93" s="8" t="s">
        <v>978</v>
      </c>
      <c r="K93" s="8" t="s">
        <v>979</v>
      </c>
      <c r="L93" s="8" t="s">
        <v>980</v>
      </c>
      <c r="M93" s="8" t="s">
        <v>76</v>
      </c>
      <c r="N93" s="8" t="s">
        <v>981</v>
      </c>
      <c r="O93" s="8" t="s">
        <v>982</v>
      </c>
      <c r="P93" s="8" t="s">
        <v>65</v>
      </c>
      <c r="Q93" s="8" t="s">
        <v>983</v>
      </c>
      <c r="R93" s="8" t="s">
        <v>984</v>
      </c>
      <c r="S93" s="8" t="s">
        <v>985</v>
      </c>
      <c r="T93" s="8" t="s">
        <v>39</v>
      </c>
      <c r="U93" s="8" t="s">
        <v>39</v>
      </c>
      <c r="V93" s="8" t="s">
        <v>39</v>
      </c>
      <c r="W93" s="8" t="s">
        <v>39</v>
      </c>
      <c r="X93" s="8" t="s">
        <v>962</v>
      </c>
      <c r="Y93" s="8" t="s">
        <v>42</v>
      </c>
    </row>
    <row r="94" spans="1:25" ht="41.4">
      <c r="A94" s="8" t="s">
        <v>986</v>
      </c>
      <c r="B94" s="8" t="s">
        <v>2252</v>
      </c>
      <c r="C94" s="8">
        <v>3</v>
      </c>
      <c r="D94" s="8" t="s">
        <v>2253</v>
      </c>
      <c r="E94" s="8" t="s">
        <v>950</v>
      </c>
      <c r="F94" s="8" t="s">
        <v>2308</v>
      </c>
      <c r="G94" s="8" t="s">
        <v>2309</v>
      </c>
      <c r="H94" s="8" t="s">
        <v>987</v>
      </c>
      <c r="I94" s="8" t="s">
        <v>135</v>
      </c>
      <c r="J94" s="8" t="s">
        <v>988</v>
      </c>
      <c r="K94" s="8" t="s">
        <v>989</v>
      </c>
      <c r="L94" s="8" t="s">
        <v>990</v>
      </c>
      <c r="M94" s="8" t="s">
        <v>88</v>
      </c>
      <c r="N94" s="8" t="s">
        <v>991</v>
      </c>
      <c r="O94" s="8" t="s">
        <v>2310</v>
      </c>
      <c r="P94" s="8" t="s">
        <v>65</v>
      </c>
      <c r="Q94" s="8" t="s">
        <v>993</v>
      </c>
      <c r="R94" s="8" t="s">
        <v>994</v>
      </c>
      <c r="S94" s="8" t="s">
        <v>995</v>
      </c>
      <c r="T94" s="8" t="s">
        <v>39</v>
      </c>
      <c r="U94" s="8" t="s">
        <v>39</v>
      </c>
      <c r="V94" s="8" t="s">
        <v>39</v>
      </c>
      <c r="W94" s="8" t="s">
        <v>39</v>
      </c>
      <c r="X94" s="8" t="s">
        <v>962</v>
      </c>
      <c r="Y94" s="8" t="s">
        <v>55</v>
      </c>
    </row>
    <row r="95" spans="1:25" ht="27.6">
      <c r="A95" s="8" t="s">
        <v>996</v>
      </c>
      <c r="B95" s="8" t="s">
        <v>2252</v>
      </c>
      <c r="C95" s="8">
        <v>3</v>
      </c>
      <c r="D95" s="8" t="s">
        <v>2253</v>
      </c>
      <c r="E95" s="8" t="s">
        <v>950</v>
      </c>
      <c r="F95" s="8" t="s">
        <v>2308</v>
      </c>
      <c r="G95" s="8" t="s">
        <v>2309</v>
      </c>
      <c r="H95" s="8" t="s">
        <v>997</v>
      </c>
      <c r="I95" s="8" t="s">
        <v>998</v>
      </c>
      <c r="J95" s="8" t="s">
        <v>999</v>
      </c>
      <c r="K95" s="8" t="s">
        <v>1000</v>
      </c>
      <c r="L95" s="8" t="s">
        <v>1001</v>
      </c>
      <c r="M95" s="8" t="s">
        <v>32</v>
      </c>
      <c r="N95" s="8" t="s">
        <v>1002</v>
      </c>
      <c r="O95" s="8" t="s">
        <v>1003</v>
      </c>
      <c r="P95" s="8" t="s">
        <v>65</v>
      </c>
      <c r="Q95" s="8" t="s">
        <v>1004</v>
      </c>
      <c r="R95" s="8" t="s">
        <v>1005</v>
      </c>
      <c r="S95" s="8" t="s">
        <v>1006</v>
      </c>
      <c r="T95" s="8" t="s">
        <v>39</v>
      </c>
      <c r="U95" s="8" t="s">
        <v>39</v>
      </c>
      <c r="V95" s="8" t="s">
        <v>39</v>
      </c>
      <c r="W95" s="8" t="s">
        <v>39</v>
      </c>
      <c r="X95" s="8" t="s">
        <v>962</v>
      </c>
      <c r="Y95" s="8" t="s">
        <v>42</v>
      </c>
    </row>
    <row r="96" spans="1:25" ht="55.2">
      <c r="A96" s="8" t="s">
        <v>1007</v>
      </c>
      <c r="B96" s="8" t="s">
        <v>2252</v>
      </c>
      <c r="C96" s="8">
        <v>3</v>
      </c>
      <c r="D96" s="8" t="s">
        <v>2253</v>
      </c>
      <c r="E96" s="8" t="s">
        <v>950</v>
      </c>
      <c r="F96" s="8" t="s">
        <v>2308</v>
      </c>
      <c r="G96" s="8" t="s">
        <v>2309</v>
      </c>
      <c r="H96" s="8" t="s">
        <v>1008</v>
      </c>
      <c r="I96" s="8" t="s">
        <v>1009</v>
      </c>
      <c r="J96" s="8" t="s">
        <v>1010</v>
      </c>
      <c r="K96" s="8" t="s">
        <v>1011</v>
      </c>
      <c r="L96" s="8" t="s">
        <v>1012</v>
      </c>
      <c r="M96" s="8" t="s">
        <v>62</v>
      </c>
      <c r="N96" s="8" t="s">
        <v>1013</v>
      </c>
      <c r="O96" s="8" t="s">
        <v>1014</v>
      </c>
      <c r="P96" s="8" t="s">
        <v>191</v>
      </c>
      <c r="Q96" s="8" t="s">
        <v>1015</v>
      </c>
      <c r="R96" s="8" t="s">
        <v>1016</v>
      </c>
      <c r="S96" s="8" t="s">
        <v>1017</v>
      </c>
      <c r="T96" s="8" t="s">
        <v>39</v>
      </c>
      <c r="U96" s="8" t="s">
        <v>39</v>
      </c>
      <c r="V96" s="8" t="s">
        <v>39</v>
      </c>
      <c r="W96" s="8" t="s">
        <v>39</v>
      </c>
      <c r="X96" s="8" t="s">
        <v>962</v>
      </c>
      <c r="Y96" s="8" t="s">
        <v>42</v>
      </c>
    </row>
    <row r="97" spans="1:25" ht="27.6">
      <c r="A97" s="8" t="s">
        <v>1018</v>
      </c>
      <c r="B97" s="8" t="s">
        <v>2252</v>
      </c>
      <c r="C97" s="8">
        <v>3</v>
      </c>
      <c r="D97" s="8" t="s">
        <v>2253</v>
      </c>
      <c r="E97" s="8" t="s">
        <v>950</v>
      </c>
      <c r="F97" s="8" t="s">
        <v>2308</v>
      </c>
      <c r="G97" s="8" t="s">
        <v>2309</v>
      </c>
      <c r="H97" s="8" t="s">
        <v>1019</v>
      </c>
      <c r="I97" s="8" t="s">
        <v>138</v>
      </c>
      <c r="J97" s="8" t="s">
        <v>1020</v>
      </c>
      <c r="K97" s="8" t="s">
        <v>1021</v>
      </c>
      <c r="L97" s="8" t="s">
        <v>135</v>
      </c>
      <c r="M97" s="8" t="s">
        <v>62</v>
      </c>
      <c r="N97" s="8" t="s">
        <v>1022</v>
      </c>
      <c r="O97" s="8" t="s">
        <v>2311</v>
      </c>
      <c r="P97" s="8" t="s">
        <v>35</v>
      </c>
      <c r="Q97" s="8" t="s">
        <v>1024</v>
      </c>
      <c r="R97" s="8" t="s">
        <v>1025</v>
      </c>
      <c r="S97" s="8" t="s">
        <v>1026</v>
      </c>
      <c r="T97" s="8" t="s">
        <v>39</v>
      </c>
      <c r="U97" s="8" t="s">
        <v>39</v>
      </c>
      <c r="V97" s="8" t="s">
        <v>39</v>
      </c>
      <c r="W97" s="8" t="s">
        <v>39</v>
      </c>
      <c r="X97" s="8" t="s">
        <v>962</v>
      </c>
      <c r="Y97" s="8" t="s">
        <v>55</v>
      </c>
    </row>
    <row r="98" spans="1:25" ht="41.4">
      <c r="A98" s="8" t="s">
        <v>1027</v>
      </c>
      <c r="B98" s="8" t="s">
        <v>2252</v>
      </c>
      <c r="C98" s="8">
        <v>3</v>
      </c>
      <c r="D98" s="8" t="s">
        <v>2253</v>
      </c>
      <c r="E98" s="8" t="s">
        <v>950</v>
      </c>
      <c r="F98" s="8" t="s">
        <v>2308</v>
      </c>
      <c r="G98" s="8" t="s">
        <v>2309</v>
      </c>
      <c r="H98" s="8" t="s">
        <v>1028</v>
      </c>
      <c r="I98" s="8" t="s">
        <v>1029</v>
      </c>
      <c r="J98" s="8" t="s">
        <v>1030</v>
      </c>
      <c r="K98" s="8" t="s">
        <v>1031</v>
      </c>
      <c r="L98" s="8" t="s">
        <v>1032</v>
      </c>
      <c r="M98" s="8" t="s">
        <v>32</v>
      </c>
      <c r="N98" s="8" t="s">
        <v>1033</v>
      </c>
      <c r="O98" s="8" t="s">
        <v>1034</v>
      </c>
      <c r="P98" s="8" t="s">
        <v>191</v>
      </c>
      <c r="Q98" s="8" t="s">
        <v>1035</v>
      </c>
      <c r="R98" s="8" t="s">
        <v>1036</v>
      </c>
      <c r="S98" s="8" t="s">
        <v>1037</v>
      </c>
      <c r="T98" s="8" t="s">
        <v>39</v>
      </c>
      <c r="U98" s="8" t="s">
        <v>39</v>
      </c>
      <c r="V98" s="8" t="s">
        <v>39</v>
      </c>
      <c r="W98" s="8" t="s">
        <v>39</v>
      </c>
      <c r="X98" s="8" t="s">
        <v>962</v>
      </c>
      <c r="Y98" s="8" t="s">
        <v>42</v>
      </c>
    </row>
    <row r="99" spans="1:25" ht="27.6">
      <c r="A99" s="8" t="s">
        <v>1038</v>
      </c>
      <c r="B99" s="8" t="s">
        <v>2252</v>
      </c>
      <c r="C99" s="8">
        <v>3</v>
      </c>
      <c r="D99" s="8" t="s">
        <v>2253</v>
      </c>
      <c r="E99" s="8" t="s">
        <v>950</v>
      </c>
      <c r="F99" s="8" t="s">
        <v>2308</v>
      </c>
      <c r="G99" s="8" t="s">
        <v>2309</v>
      </c>
      <c r="H99" s="8" t="s">
        <v>1039</v>
      </c>
      <c r="I99" s="8" t="s">
        <v>1040</v>
      </c>
      <c r="J99" s="8" t="s">
        <v>1041</v>
      </c>
      <c r="K99" s="8" t="s">
        <v>1042</v>
      </c>
      <c r="L99" s="8" t="s">
        <v>1043</v>
      </c>
      <c r="M99" s="8" t="s">
        <v>76</v>
      </c>
      <c r="N99" s="8" t="s">
        <v>1044</v>
      </c>
      <c r="O99" s="8" t="s">
        <v>1045</v>
      </c>
      <c r="P99" s="8" t="s">
        <v>35</v>
      </c>
      <c r="Q99" s="8" t="s">
        <v>213</v>
      </c>
      <c r="R99" s="8" t="s">
        <v>1046</v>
      </c>
      <c r="S99" s="8" t="s">
        <v>1047</v>
      </c>
      <c r="T99" s="8" t="s">
        <v>39</v>
      </c>
      <c r="U99" s="8" t="s">
        <v>39</v>
      </c>
      <c r="V99" s="8" t="s">
        <v>39</v>
      </c>
      <c r="W99" s="8" t="s">
        <v>39</v>
      </c>
      <c r="X99" s="8" t="s">
        <v>962</v>
      </c>
      <c r="Y99" s="8" t="s">
        <v>55</v>
      </c>
    </row>
    <row r="100" spans="1:25" ht="41.4">
      <c r="A100" s="8" t="s">
        <v>1048</v>
      </c>
      <c r="B100" s="8" t="s">
        <v>2252</v>
      </c>
      <c r="C100" s="8">
        <v>3</v>
      </c>
      <c r="D100" s="8" t="s">
        <v>2253</v>
      </c>
      <c r="E100" s="8" t="s">
        <v>950</v>
      </c>
      <c r="F100" s="8" t="s">
        <v>2308</v>
      </c>
      <c r="G100" s="8" t="s">
        <v>2309</v>
      </c>
      <c r="H100" s="8" t="s">
        <v>1049</v>
      </c>
      <c r="I100" s="8" t="s">
        <v>1050</v>
      </c>
      <c r="J100" s="8" t="s">
        <v>1051</v>
      </c>
      <c r="K100" s="8" t="s">
        <v>1052</v>
      </c>
      <c r="L100" s="8" t="s">
        <v>1053</v>
      </c>
      <c r="M100" s="8" t="s">
        <v>32</v>
      </c>
      <c r="N100" s="8" t="s">
        <v>1054</v>
      </c>
      <c r="O100" s="8" t="s">
        <v>1055</v>
      </c>
      <c r="P100" s="8" t="s">
        <v>191</v>
      </c>
      <c r="Q100" s="8" t="s">
        <v>1056</v>
      </c>
      <c r="R100" s="8" t="s">
        <v>1057</v>
      </c>
      <c r="S100" s="8" t="s">
        <v>1058</v>
      </c>
      <c r="T100" s="8" t="s">
        <v>39</v>
      </c>
      <c r="U100" s="8" t="s">
        <v>39</v>
      </c>
      <c r="V100" s="8" t="s">
        <v>39</v>
      </c>
      <c r="W100" s="8" t="s">
        <v>39</v>
      </c>
      <c r="X100" s="8" t="s">
        <v>962</v>
      </c>
      <c r="Y100" s="8" t="s">
        <v>42</v>
      </c>
    </row>
    <row r="101" spans="1:25" ht="41.4">
      <c r="A101" s="8" t="s">
        <v>1059</v>
      </c>
      <c r="B101" s="8" t="s">
        <v>2252</v>
      </c>
      <c r="C101" s="8">
        <v>3</v>
      </c>
      <c r="D101" s="8" t="s">
        <v>2253</v>
      </c>
      <c r="E101" s="8" t="s">
        <v>950</v>
      </c>
      <c r="F101" s="8" t="s">
        <v>2308</v>
      </c>
      <c r="G101" s="8" t="s">
        <v>2309</v>
      </c>
      <c r="H101" s="8" t="s">
        <v>1060</v>
      </c>
      <c r="I101" s="8" t="s">
        <v>1061</v>
      </c>
      <c r="J101" s="8" t="s">
        <v>1062</v>
      </c>
      <c r="K101" s="8" t="s">
        <v>1063</v>
      </c>
      <c r="L101" s="8" t="s">
        <v>1064</v>
      </c>
      <c r="M101" s="8" t="s">
        <v>76</v>
      </c>
      <c r="N101" s="8" t="s">
        <v>1065</v>
      </c>
      <c r="O101" s="8" t="s">
        <v>1066</v>
      </c>
      <c r="P101" s="8" t="s">
        <v>35</v>
      </c>
      <c r="Q101" s="8" t="s">
        <v>1067</v>
      </c>
      <c r="R101" s="8" t="s">
        <v>1068</v>
      </c>
      <c r="S101" s="8" t="s">
        <v>1069</v>
      </c>
      <c r="T101" s="8" t="s">
        <v>39</v>
      </c>
      <c r="U101" s="8" t="s">
        <v>39</v>
      </c>
      <c r="V101" s="8" t="s">
        <v>39</v>
      </c>
      <c r="W101" s="8" t="s">
        <v>39</v>
      </c>
      <c r="X101" s="8" t="s">
        <v>962</v>
      </c>
      <c r="Y101" s="8" t="s">
        <v>55</v>
      </c>
    </row>
    <row r="102" spans="1:25" ht="27.6">
      <c r="A102" s="8" t="s">
        <v>1070</v>
      </c>
      <c r="B102" s="8" t="s">
        <v>2252</v>
      </c>
      <c r="C102" s="8">
        <v>3</v>
      </c>
      <c r="D102" s="8" t="s">
        <v>2253</v>
      </c>
      <c r="E102" s="8" t="s">
        <v>950</v>
      </c>
      <c r="F102" s="8" t="s">
        <v>2308</v>
      </c>
      <c r="G102" s="8" t="s">
        <v>2309</v>
      </c>
      <c r="H102" s="8" t="s">
        <v>1071</v>
      </c>
      <c r="I102" s="8" t="s">
        <v>1072</v>
      </c>
      <c r="J102" s="8" t="s">
        <v>1073</v>
      </c>
      <c r="K102" s="8" t="s">
        <v>1074</v>
      </c>
      <c r="L102" s="8" t="s">
        <v>1075</v>
      </c>
      <c r="M102" s="8" t="s">
        <v>32</v>
      </c>
      <c r="N102" s="8" t="s">
        <v>1076</v>
      </c>
      <c r="O102" s="8" t="s">
        <v>1077</v>
      </c>
      <c r="P102" s="8" t="s">
        <v>35</v>
      </c>
      <c r="Q102" s="8" t="s">
        <v>1078</v>
      </c>
      <c r="R102" s="8" t="s">
        <v>1079</v>
      </c>
      <c r="S102" s="8" t="s">
        <v>1080</v>
      </c>
      <c r="T102" s="8" t="s">
        <v>39</v>
      </c>
      <c r="U102" s="8" t="s">
        <v>39</v>
      </c>
      <c r="V102" s="8" t="s">
        <v>39</v>
      </c>
      <c r="W102" s="8" t="s">
        <v>39</v>
      </c>
      <c r="X102" s="8" t="s">
        <v>962</v>
      </c>
      <c r="Y102" s="8" t="s">
        <v>55</v>
      </c>
    </row>
    <row r="103" spans="1:25" ht="41.4">
      <c r="A103" s="8" t="s">
        <v>1081</v>
      </c>
      <c r="B103" s="8" t="s">
        <v>2252</v>
      </c>
      <c r="C103" s="8">
        <v>3</v>
      </c>
      <c r="D103" s="8" t="s">
        <v>2253</v>
      </c>
      <c r="E103" s="8" t="s">
        <v>950</v>
      </c>
      <c r="F103" s="8" t="s">
        <v>2308</v>
      </c>
      <c r="G103" s="8" t="s">
        <v>2309</v>
      </c>
      <c r="H103" s="8" t="s">
        <v>1082</v>
      </c>
      <c r="I103" s="8" t="s">
        <v>1083</v>
      </c>
      <c r="J103" s="8" t="s">
        <v>1084</v>
      </c>
      <c r="K103" s="8" t="s">
        <v>1085</v>
      </c>
      <c r="L103" s="8" t="s">
        <v>1086</v>
      </c>
      <c r="M103" s="8" t="s">
        <v>62</v>
      </c>
      <c r="N103" s="8" t="s">
        <v>1087</v>
      </c>
      <c r="O103" s="8" t="s">
        <v>1088</v>
      </c>
      <c r="P103" s="8" t="s">
        <v>191</v>
      </c>
      <c r="Q103" s="8" t="s">
        <v>1089</v>
      </c>
      <c r="R103" s="8" t="s">
        <v>1090</v>
      </c>
      <c r="S103" s="8" t="s">
        <v>1091</v>
      </c>
      <c r="T103" s="8" t="s">
        <v>39</v>
      </c>
      <c r="U103" s="8" t="s">
        <v>39</v>
      </c>
      <c r="V103" s="8" t="s">
        <v>39</v>
      </c>
      <c r="W103" s="8" t="s">
        <v>39</v>
      </c>
      <c r="X103" s="8" t="s">
        <v>962</v>
      </c>
      <c r="Y103" s="8" t="s">
        <v>55</v>
      </c>
    </row>
    <row r="104" spans="1:25" ht="41.4">
      <c r="A104" s="8" t="s">
        <v>1092</v>
      </c>
      <c r="B104" s="8" t="s">
        <v>2252</v>
      </c>
      <c r="C104" s="8">
        <v>3</v>
      </c>
      <c r="D104" s="8" t="s">
        <v>2253</v>
      </c>
      <c r="E104" s="8" t="s">
        <v>950</v>
      </c>
      <c r="F104" s="8" t="s">
        <v>2308</v>
      </c>
      <c r="G104" s="8" t="s">
        <v>2309</v>
      </c>
      <c r="H104" s="8" t="s">
        <v>1093</v>
      </c>
      <c r="I104" s="8" t="s">
        <v>1094</v>
      </c>
      <c r="J104" s="8" t="s">
        <v>1095</v>
      </c>
      <c r="K104" s="8" t="s">
        <v>1096</v>
      </c>
      <c r="L104" s="8" t="s">
        <v>1097</v>
      </c>
      <c r="M104" s="8" t="s">
        <v>62</v>
      </c>
      <c r="N104" s="8" t="s">
        <v>1098</v>
      </c>
      <c r="O104" s="8" t="s">
        <v>1099</v>
      </c>
      <c r="P104" s="8" t="s">
        <v>191</v>
      </c>
      <c r="Q104" s="8" t="s">
        <v>1100</v>
      </c>
      <c r="R104" s="8" t="s">
        <v>1101</v>
      </c>
      <c r="S104" s="8" t="s">
        <v>1037</v>
      </c>
      <c r="T104" s="8" t="s">
        <v>39</v>
      </c>
      <c r="U104" s="8" t="s">
        <v>39</v>
      </c>
      <c r="V104" s="8" t="s">
        <v>39</v>
      </c>
      <c r="W104" s="8" t="s">
        <v>39</v>
      </c>
      <c r="X104" s="8" t="s">
        <v>962</v>
      </c>
      <c r="Y104" s="8" t="s">
        <v>42</v>
      </c>
    </row>
    <row r="105" spans="1:25" ht="41.4">
      <c r="A105" s="8" t="s">
        <v>1102</v>
      </c>
      <c r="B105" s="8" t="s">
        <v>2252</v>
      </c>
      <c r="C105" s="8">
        <v>3</v>
      </c>
      <c r="D105" s="8" t="s">
        <v>2253</v>
      </c>
      <c r="E105" s="8" t="s">
        <v>950</v>
      </c>
      <c r="F105" s="8" t="s">
        <v>2308</v>
      </c>
      <c r="G105" s="8" t="s">
        <v>2309</v>
      </c>
      <c r="H105" s="8" t="s">
        <v>1103</v>
      </c>
      <c r="I105" s="8" t="s">
        <v>329</v>
      </c>
      <c r="J105" s="8" t="s">
        <v>955</v>
      </c>
      <c r="K105" s="8" t="s">
        <v>1104</v>
      </c>
      <c r="L105" s="8" t="s">
        <v>956</v>
      </c>
      <c r="M105" s="8" t="s">
        <v>88</v>
      </c>
      <c r="N105" s="8" t="s">
        <v>1105</v>
      </c>
      <c r="O105" s="8" t="s">
        <v>1106</v>
      </c>
      <c r="P105" s="8" t="s">
        <v>191</v>
      </c>
      <c r="Q105" s="8" t="s">
        <v>52</v>
      </c>
      <c r="R105" s="8" t="s">
        <v>1107</v>
      </c>
      <c r="S105" s="8" t="s">
        <v>1108</v>
      </c>
      <c r="T105" s="8" t="s">
        <v>39</v>
      </c>
      <c r="U105" s="8" t="s">
        <v>39</v>
      </c>
      <c r="V105" s="8" t="s">
        <v>39</v>
      </c>
      <c r="W105" s="8" t="s">
        <v>39</v>
      </c>
      <c r="X105" s="8" t="s">
        <v>962</v>
      </c>
      <c r="Y105" s="8" t="s">
        <v>55</v>
      </c>
    </row>
    <row r="106" spans="1:25" ht="41.4">
      <c r="A106" s="8" t="s">
        <v>1109</v>
      </c>
      <c r="B106" s="8" t="s">
        <v>2252</v>
      </c>
      <c r="C106" s="8">
        <v>5</v>
      </c>
      <c r="D106" s="8" t="s">
        <v>2259</v>
      </c>
      <c r="E106" s="8" t="s">
        <v>1816</v>
      </c>
      <c r="F106" s="8" t="s">
        <v>2312</v>
      </c>
      <c r="G106" s="8" t="s">
        <v>2313</v>
      </c>
      <c r="H106" s="8" t="s">
        <v>1111</v>
      </c>
      <c r="I106" s="8" t="s">
        <v>1112</v>
      </c>
      <c r="J106" s="8" t="s">
        <v>1113</v>
      </c>
      <c r="K106" s="8" t="s">
        <v>1114</v>
      </c>
      <c r="L106" s="8" t="s">
        <v>1115</v>
      </c>
      <c r="M106" s="8" t="s">
        <v>62</v>
      </c>
      <c r="N106" s="8" t="s">
        <v>1116</v>
      </c>
      <c r="O106" s="8" t="s">
        <v>1117</v>
      </c>
      <c r="P106" s="8" t="s">
        <v>65</v>
      </c>
      <c r="Q106" s="8" t="s">
        <v>1118</v>
      </c>
      <c r="R106" s="8" t="s">
        <v>1119</v>
      </c>
      <c r="S106" s="8" t="s">
        <v>1120</v>
      </c>
      <c r="T106" s="8" t="s">
        <v>39</v>
      </c>
      <c r="U106" s="8" t="s">
        <v>39</v>
      </c>
      <c r="V106" s="8" t="s">
        <v>39</v>
      </c>
      <c r="W106" s="8" t="s">
        <v>39</v>
      </c>
      <c r="X106" s="8" t="s">
        <v>962</v>
      </c>
      <c r="Y106" s="8" t="s">
        <v>55</v>
      </c>
    </row>
    <row r="107" spans="1:25" ht="41.4">
      <c r="A107" s="8" t="s">
        <v>1121</v>
      </c>
      <c r="B107" s="8" t="s">
        <v>2252</v>
      </c>
      <c r="C107" s="8">
        <v>3</v>
      </c>
      <c r="D107" s="8" t="s">
        <v>2253</v>
      </c>
      <c r="E107" s="8" t="s">
        <v>950</v>
      </c>
      <c r="F107" s="8" t="s">
        <v>2308</v>
      </c>
      <c r="G107" s="8" t="s">
        <v>2309</v>
      </c>
      <c r="H107" s="8" t="s">
        <v>1122</v>
      </c>
      <c r="I107" s="8" t="s">
        <v>1123</v>
      </c>
      <c r="J107" s="8" t="s">
        <v>1124</v>
      </c>
      <c r="K107" s="8" t="s">
        <v>1125</v>
      </c>
      <c r="L107" s="8" t="s">
        <v>1126</v>
      </c>
      <c r="M107" s="8" t="s">
        <v>62</v>
      </c>
      <c r="N107" s="8" t="s">
        <v>1127</v>
      </c>
      <c r="O107" s="8" t="s">
        <v>1128</v>
      </c>
      <c r="P107" s="8" t="s">
        <v>191</v>
      </c>
      <c r="Q107" s="8" t="s">
        <v>1035</v>
      </c>
      <c r="R107" s="8" t="s">
        <v>1036</v>
      </c>
      <c r="S107" s="8" t="s">
        <v>1037</v>
      </c>
      <c r="T107" s="8" t="s">
        <v>39</v>
      </c>
      <c r="U107" s="8" t="s">
        <v>39</v>
      </c>
      <c r="V107" s="8" t="s">
        <v>39</v>
      </c>
      <c r="W107" s="8" t="s">
        <v>39</v>
      </c>
      <c r="X107" s="8" t="s">
        <v>962</v>
      </c>
      <c r="Y107" s="8" t="s">
        <v>55</v>
      </c>
    </row>
    <row r="108" spans="1:25" ht="41.4">
      <c r="A108" s="8" t="s">
        <v>1129</v>
      </c>
      <c r="B108" s="8" t="s">
        <v>2252</v>
      </c>
      <c r="C108" s="8">
        <v>3</v>
      </c>
      <c r="D108" s="8" t="s">
        <v>2253</v>
      </c>
      <c r="E108" s="8" t="s">
        <v>950</v>
      </c>
      <c r="F108" s="8" t="s">
        <v>2308</v>
      </c>
      <c r="G108" s="8" t="s">
        <v>2309</v>
      </c>
      <c r="H108" s="8" t="s">
        <v>1130</v>
      </c>
      <c r="I108" s="8" t="s">
        <v>1131</v>
      </c>
      <c r="J108" s="8" t="s">
        <v>1132</v>
      </c>
      <c r="K108" s="8" t="s">
        <v>1133</v>
      </c>
      <c r="L108" s="8" t="s">
        <v>1134</v>
      </c>
      <c r="M108" s="8" t="s">
        <v>32</v>
      </c>
      <c r="N108" s="8" t="s">
        <v>1135</v>
      </c>
      <c r="O108" s="8" t="s">
        <v>2314</v>
      </c>
      <c r="P108" s="8" t="s">
        <v>191</v>
      </c>
      <c r="Q108" s="8" t="s">
        <v>1137</v>
      </c>
      <c r="R108" s="8" t="s">
        <v>1138</v>
      </c>
      <c r="S108" s="8" t="s">
        <v>1139</v>
      </c>
      <c r="T108" s="8" t="s">
        <v>39</v>
      </c>
      <c r="U108" s="8" t="s">
        <v>39</v>
      </c>
      <c r="V108" s="8" t="s">
        <v>39</v>
      </c>
      <c r="W108" s="8" t="s">
        <v>39</v>
      </c>
      <c r="X108" s="8" t="s">
        <v>962</v>
      </c>
      <c r="Y108" s="8" t="s">
        <v>55</v>
      </c>
    </row>
    <row r="109" spans="1:25" ht="41.4">
      <c r="A109" s="8" t="s">
        <v>1140</v>
      </c>
      <c r="B109" s="8" t="s">
        <v>2252</v>
      </c>
      <c r="C109" s="8">
        <v>3</v>
      </c>
      <c r="D109" s="8" t="s">
        <v>2253</v>
      </c>
      <c r="E109" s="8" t="s">
        <v>950</v>
      </c>
      <c r="F109" s="8" t="s">
        <v>2308</v>
      </c>
      <c r="G109" s="8" t="s">
        <v>2309</v>
      </c>
      <c r="H109" s="8" t="s">
        <v>1141</v>
      </c>
      <c r="I109" s="8" t="s">
        <v>135</v>
      </c>
      <c r="J109" s="8" t="s">
        <v>138</v>
      </c>
      <c r="K109" s="8" t="s">
        <v>1142</v>
      </c>
      <c r="L109" s="8" t="s">
        <v>1143</v>
      </c>
      <c r="M109" s="8" t="s">
        <v>88</v>
      </c>
      <c r="N109" s="8" t="s">
        <v>1144</v>
      </c>
      <c r="O109" s="8" t="s">
        <v>1145</v>
      </c>
      <c r="P109" s="8" t="s">
        <v>35</v>
      </c>
      <c r="Q109" s="8" t="s">
        <v>1146</v>
      </c>
      <c r="R109" s="8" t="s">
        <v>1147</v>
      </c>
      <c r="S109" s="8" t="s">
        <v>1148</v>
      </c>
      <c r="T109" s="8" t="s">
        <v>39</v>
      </c>
      <c r="U109" s="8" t="s">
        <v>39</v>
      </c>
      <c r="V109" s="8" t="s">
        <v>39</v>
      </c>
      <c r="W109" s="8" t="s">
        <v>39</v>
      </c>
      <c r="X109" s="8" t="s">
        <v>962</v>
      </c>
      <c r="Y109" s="8" t="s">
        <v>55</v>
      </c>
    </row>
    <row r="110" spans="1:25" ht="41.4">
      <c r="A110" s="8" t="s">
        <v>1149</v>
      </c>
      <c r="B110" s="8" t="s">
        <v>2252</v>
      </c>
      <c r="C110" s="8">
        <v>3</v>
      </c>
      <c r="D110" s="8" t="s">
        <v>2253</v>
      </c>
      <c r="E110" s="8" t="s">
        <v>950</v>
      </c>
      <c r="F110" s="8" t="s">
        <v>2308</v>
      </c>
      <c r="G110" s="8" t="s">
        <v>2309</v>
      </c>
      <c r="H110" s="8" t="s">
        <v>1150</v>
      </c>
      <c r="I110" s="8" t="s">
        <v>1151</v>
      </c>
      <c r="J110" s="8" t="s">
        <v>1152</v>
      </c>
      <c r="K110" s="8" t="s">
        <v>1153</v>
      </c>
      <c r="L110" s="8" t="s">
        <v>1154</v>
      </c>
      <c r="M110" s="8" t="s">
        <v>76</v>
      </c>
      <c r="N110" s="8" t="s">
        <v>1155</v>
      </c>
      <c r="O110" s="8" t="s">
        <v>1156</v>
      </c>
      <c r="P110" s="8" t="s">
        <v>65</v>
      </c>
      <c r="Q110" s="8" t="s">
        <v>1157</v>
      </c>
      <c r="R110" s="8" t="s">
        <v>1158</v>
      </c>
      <c r="S110" s="8" t="s">
        <v>1159</v>
      </c>
      <c r="T110" s="8" t="s">
        <v>39</v>
      </c>
      <c r="U110" s="8" t="s">
        <v>39</v>
      </c>
      <c r="V110" s="8" t="s">
        <v>39</v>
      </c>
      <c r="W110" s="8" t="s">
        <v>39</v>
      </c>
      <c r="X110" s="8" t="s">
        <v>962</v>
      </c>
      <c r="Y110" s="8" t="s">
        <v>42</v>
      </c>
    </row>
    <row r="111" spans="1:25" ht="41.4">
      <c r="A111" s="8" t="s">
        <v>1160</v>
      </c>
      <c r="B111" s="8" t="s">
        <v>2252</v>
      </c>
      <c r="C111" s="8">
        <v>3</v>
      </c>
      <c r="D111" s="8" t="s">
        <v>2253</v>
      </c>
      <c r="E111" s="8" t="s">
        <v>950</v>
      </c>
      <c r="F111" s="8" t="s">
        <v>2254</v>
      </c>
      <c r="G111" s="8" t="s">
        <v>2255</v>
      </c>
      <c r="H111" s="8" t="s">
        <v>1161</v>
      </c>
      <c r="I111" s="8" t="s">
        <v>1162</v>
      </c>
      <c r="J111" s="8" t="s">
        <v>1163</v>
      </c>
      <c r="K111" s="8" t="s">
        <v>1164</v>
      </c>
      <c r="L111" s="8" t="s">
        <v>1165</v>
      </c>
      <c r="M111" s="8" t="s">
        <v>32</v>
      </c>
      <c r="N111" s="8" t="s">
        <v>1166</v>
      </c>
      <c r="O111" s="8" t="s">
        <v>1167</v>
      </c>
      <c r="P111" s="8" t="s">
        <v>191</v>
      </c>
      <c r="Q111" s="8" t="s">
        <v>1168</v>
      </c>
      <c r="R111" s="8" t="s">
        <v>1169</v>
      </c>
      <c r="S111" s="8" t="s">
        <v>1170</v>
      </c>
      <c r="T111" s="8" t="s">
        <v>39</v>
      </c>
      <c r="U111" s="8" t="s">
        <v>39</v>
      </c>
      <c r="V111" s="8" t="s">
        <v>39</v>
      </c>
      <c r="W111" s="8" t="s">
        <v>39</v>
      </c>
      <c r="X111" s="8" t="s">
        <v>962</v>
      </c>
      <c r="Y111" s="8" t="s">
        <v>42</v>
      </c>
    </row>
    <row r="112" spans="1:25" ht="41.4">
      <c r="A112" s="8" t="s">
        <v>1171</v>
      </c>
      <c r="B112" s="8" t="s">
        <v>2252</v>
      </c>
      <c r="C112" s="8">
        <v>3</v>
      </c>
      <c r="D112" s="8" t="s">
        <v>2253</v>
      </c>
      <c r="E112" s="8" t="s">
        <v>950</v>
      </c>
      <c r="F112" s="8" t="s">
        <v>2308</v>
      </c>
      <c r="G112" s="8" t="s">
        <v>2309</v>
      </c>
      <c r="H112" s="8" t="s">
        <v>1172</v>
      </c>
      <c r="I112" s="8" t="s">
        <v>1173</v>
      </c>
      <c r="J112" s="8" t="s">
        <v>1174</v>
      </c>
      <c r="K112" s="8" t="s">
        <v>1175</v>
      </c>
      <c r="L112" s="8" t="s">
        <v>1176</v>
      </c>
      <c r="M112" s="8" t="s">
        <v>88</v>
      </c>
      <c r="N112" s="8" t="s">
        <v>1177</v>
      </c>
      <c r="O112" s="8" t="s">
        <v>1178</v>
      </c>
      <c r="P112" s="8" t="s">
        <v>65</v>
      </c>
      <c r="Q112" s="8" t="s">
        <v>971</v>
      </c>
      <c r="R112" s="8" t="s">
        <v>1179</v>
      </c>
      <c r="S112" s="8" t="s">
        <v>1180</v>
      </c>
      <c r="T112" s="8" t="s">
        <v>39</v>
      </c>
      <c r="U112" s="8" t="s">
        <v>39</v>
      </c>
      <c r="V112" s="8" t="s">
        <v>39</v>
      </c>
      <c r="W112" s="8" t="s">
        <v>39</v>
      </c>
      <c r="X112" s="8" t="s">
        <v>962</v>
      </c>
      <c r="Y112" s="8" t="s">
        <v>55</v>
      </c>
    </row>
    <row r="113" spans="1:25" ht="27.6">
      <c r="A113" s="8" t="s">
        <v>1181</v>
      </c>
      <c r="B113" s="8" t="s">
        <v>2252</v>
      </c>
      <c r="C113" s="8">
        <v>3</v>
      </c>
      <c r="D113" s="8" t="s">
        <v>2253</v>
      </c>
      <c r="E113" s="8" t="s">
        <v>950</v>
      </c>
      <c r="F113" s="8" t="s">
        <v>2254</v>
      </c>
      <c r="G113" s="8" t="s">
        <v>2255</v>
      </c>
      <c r="H113" s="8" t="s">
        <v>1182</v>
      </c>
      <c r="I113" s="8" t="s">
        <v>1183</v>
      </c>
      <c r="J113" s="8" t="s">
        <v>1184</v>
      </c>
      <c r="K113" s="8" t="s">
        <v>1185</v>
      </c>
      <c r="L113" s="8" t="s">
        <v>1186</v>
      </c>
      <c r="M113" s="8" t="s">
        <v>62</v>
      </c>
      <c r="N113" s="8" t="s">
        <v>1187</v>
      </c>
      <c r="O113" s="8" t="s">
        <v>1188</v>
      </c>
      <c r="P113" s="8" t="s">
        <v>191</v>
      </c>
      <c r="Q113" s="8" t="s">
        <v>1189</v>
      </c>
      <c r="R113" s="8" t="s">
        <v>1190</v>
      </c>
      <c r="S113" s="8" t="s">
        <v>1191</v>
      </c>
      <c r="T113" s="8" t="s">
        <v>39</v>
      </c>
      <c r="U113" s="8" t="s">
        <v>39</v>
      </c>
      <c r="V113" s="8" t="s">
        <v>39</v>
      </c>
      <c r="W113" s="8" t="s">
        <v>39</v>
      </c>
      <c r="X113" s="8" t="s">
        <v>962</v>
      </c>
      <c r="Y113" s="8" t="s">
        <v>42</v>
      </c>
    </row>
    <row r="114" spans="1:25" ht="55.2">
      <c r="A114" s="8" t="s">
        <v>1192</v>
      </c>
      <c r="B114" s="8" t="s">
        <v>2252</v>
      </c>
      <c r="C114" s="8">
        <v>3</v>
      </c>
      <c r="D114" s="8" t="s">
        <v>2253</v>
      </c>
      <c r="E114" s="8" t="s">
        <v>950</v>
      </c>
      <c r="F114" s="8" t="s">
        <v>2254</v>
      </c>
      <c r="G114" s="8" t="s">
        <v>2255</v>
      </c>
      <c r="H114" s="8" t="s">
        <v>1193</v>
      </c>
      <c r="I114" s="8" t="s">
        <v>1194</v>
      </c>
      <c r="J114" s="8" t="s">
        <v>1195</v>
      </c>
      <c r="K114" s="8" t="s">
        <v>1196</v>
      </c>
      <c r="L114" s="8" t="s">
        <v>1197</v>
      </c>
      <c r="M114" s="8" t="s">
        <v>62</v>
      </c>
      <c r="N114" s="8" t="s">
        <v>1198</v>
      </c>
      <c r="O114" s="8" t="s">
        <v>1199</v>
      </c>
      <c r="P114" s="8" t="s">
        <v>191</v>
      </c>
      <c r="Q114" s="8" t="s">
        <v>1200</v>
      </c>
      <c r="R114" s="8" t="s">
        <v>1201</v>
      </c>
      <c r="S114" s="8" t="s">
        <v>1202</v>
      </c>
      <c r="T114" s="8" t="s">
        <v>39</v>
      </c>
      <c r="U114" s="8" t="s">
        <v>39</v>
      </c>
      <c r="V114" s="8" t="s">
        <v>39</v>
      </c>
      <c r="W114" s="8" t="s">
        <v>39</v>
      </c>
      <c r="X114" s="8" t="s">
        <v>962</v>
      </c>
      <c r="Y114" s="8" t="s">
        <v>42</v>
      </c>
    </row>
    <row r="115" spans="1:25" ht="41.4">
      <c r="A115" s="8" t="s">
        <v>1203</v>
      </c>
      <c r="B115" s="8" t="s">
        <v>2252</v>
      </c>
      <c r="C115" s="8">
        <v>3</v>
      </c>
      <c r="D115" s="8" t="s">
        <v>2253</v>
      </c>
      <c r="E115" s="8" t="s">
        <v>950</v>
      </c>
      <c r="F115" s="8" t="s">
        <v>2308</v>
      </c>
      <c r="G115" s="8" t="s">
        <v>2309</v>
      </c>
      <c r="H115" s="8" t="s">
        <v>1204</v>
      </c>
      <c r="I115" s="8" t="s">
        <v>1205</v>
      </c>
      <c r="J115" s="8" t="s">
        <v>1206</v>
      </c>
      <c r="K115" s="8" t="s">
        <v>1207</v>
      </c>
      <c r="L115" s="8" t="s">
        <v>1208</v>
      </c>
      <c r="M115" s="8" t="s">
        <v>76</v>
      </c>
      <c r="N115" s="8" t="s">
        <v>1209</v>
      </c>
      <c r="O115" s="8" t="s">
        <v>1210</v>
      </c>
      <c r="P115" s="8" t="s">
        <v>65</v>
      </c>
      <c r="Q115" s="8" t="s">
        <v>1211</v>
      </c>
      <c r="R115" s="8" t="s">
        <v>1212</v>
      </c>
      <c r="S115" s="8" t="s">
        <v>1213</v>
      </c>
      <c r="T115" s="8" t="s">
        <v>39</v>
      </c>
      <c r="U115" s="8" t="s">
        <v>39</v>
      </c>
      <c r="V115" s="8" t="s">
        <v>39</v>
      </c>
      <c r="W115" s="8" t="s">
        <v>39</v>
      </c>
      <c r="X115" s="8" t="s">
        <v>962</v>
      </c>
      <c r="Y115" s="8" t="s">
        <v>55</v>
      </c>
    </row>
    <row r="116" spans="1:25" ht="27.6">
      <c r="A116" s="8" t="s">
        <v>1214</v>
      </c>
      <c r="B116" s="8" t="s">
        <v>2252</v>
      </c>
      <c r="C116" s="8">
        <v>3</v>
      </c>
      <c r="D116" s="8" t="s">
        <v>2253</v>
      </c>
      <c r="E116" s="8" t="s">
        <v>950</v>
      </c>
      <c r="F116" s="8" t="s">
        <v>2254</v>
      </c>
      <c r="G116" s="8" t="s">
        <v>2255</v>
      </c>
      <c r="H116" s="8" t="s">
        <v>1215</v>
      </c>
      <c r="I116" s="8" t="s">
        <v>1216</v>
      </c>
      <c r="J116" s="8" t="s">
        <v>1217</v>
      </c>
      <c r="K116" s="8" t="s">
        <v>1218</v>
      </c>
      <c r="L116" s="8" t="s">
        <v>1219</v>
      </c>
      <c r="M116" s="8" t="s">
        <v>62</v>
      </c>
      <c r="N116" s="8" t="s">
        <v>1220</v>
      </c>
      <c r="O116" s="8" t="s">
        <v>1221</v>
      </c>
      <c r="P116" s="8" t="s">
        <v>65</v>
      </c>
      <c r="Q116" s="8" t="s">
        <v>1222</v>
      </c>
      <c r="R116" s="8" t="s">
        <v>1190</v>
      </c>
      <c r="S116" s="8" t="s">
        <v>1191</v>
      </c>
      <c r="T116" s="8" t="s">
        <v>39</v>
      </c>
      <c r="U116" s="8" t="s">
        <v>39</v>
      </c>
      <c r="V116" s="8" t="s">
        <v>39</v>
      </c>
      <c r="W116" s="8" t="s">
        <v>39</v>
      </c>
      <c r="X116" s="8" t="s">
        <v>962</v>
      </c>
      <c r="Y116" s="8" t="s">
        <v>55</v>
      </c>
    </row>
    <row r="117" spans="1:25" ht="41.4">
      <c r="A117" s="8" t="s">
        <v>1223</v>
      </c>
      <c r="B117" s="8" t="s">
        <v>2252</v>
      </c>
      <c r="C117" s="8">
        <v>3</v>
      </c>
      <c r="D117" s="8" t="s">
        <v>2253</v>
      </c>
      <c r="E117" s="8" t="s">
        <v>950</v>
      </c>
      <c r="F117" s="8" t="s">
        <v>2308</v>
      </c>
      <c r="G117" s="8" t="s">
        <v>2309</v>
      </c>
      <c r="H117" s="8" t="s">
        <v>1224</v>
      </c>
      <c r="I117" s="8" t="s">
        <v>1225</v>
      </c>
      <c r="J117" s="8" t="s">
        <v>1226</v>
      </c>
      <c r="K117" s="8" t="s">
        <v>1227</v>
      </c>
      <c r="L117" s="8" t="s">
        <v>1228</v>
      </c>
      <c r="M117" s="8" t="s">
        <v>88</v>
      </c>
      <c r="N117" s="8" t="s">
        <v>1229</v>
      </c>
      <c r="O117" s="8" t="s">
        <v>1230</v>
      </c>
      <c r="P117" s="8" t="s">
        <v>65</v>
      </c>
      <c r="Q117" s="8" t="s">
        <v>1231</v>
      </c>
      <c r="R117" s="8" t="s">
        <v>1232</v>
      </c>
      <c r="S117" s="8" t="s">
        <v>1233</v>
      </c>
      <c r="T117" s="8" t="s">
        <v>39</v>
      </c>
      <c r="U117" s="8" t="s">
        <v>39</v>
      </c>
      <c r="V117" s="8" t="s">
        <v>39</v>
      </c>
      <c r="W117" s="8" t="s">
        <v>39</v>
      </c>
      <c r="X117" s="8" t="s">
        <v>962</v>
      </c>
      <c r="Y117" s="8" t="s">
        <v>55</v>
      </c>
    </row>
    <row r="118" spans="1:25" ht="41.4">
      <c r="A118" s="8" t="s">
        <v>1234</v>
      </c>
      <c r="B118" s="8" t="s">
        <v>2252</v>
      </c>
      <c r="C118" s="8">
        <v>3</v>
      </c>
      <c r="D118" s="8" t="s">
        <v>2253</v>
      </c>
      <c r="E118" s="8" t="s">
        <v>950</v>
      </c>
      <c r="F118" s="8" t="s">
        <v>2254</v>
      </c>
      <c r="G118" s="8" t="s">
        <v>2255</v>
      </c>
      <c r="H118" s="8" t="s">
        <v>1235</v>
      </c>
      <c r="I118" s="8" t="s">
        <v>1236</v>
      </c>
      <c r="J118" s="8" t="s">
        <v>1237</v>
      </c>
      <c r="K118" s="8" t="s">
        <v>1238</v>
      </c>
      <c r="L118" s="8" t="s">
        <v>1239</v>
      </c>
      <c r="M118" s="8" t="s">
        <v>88</v>
      </c>
      <c r="N118" s="8" t="s">
        <v>1240</v>
      </c>
      <c r="O118" s="8" t="s">
        <v>1241</v>
      </c>
      <c r="P118" s="8" t="s">
        <v>65</v>
      </c>
      <c r="Q118" s="8" t="s">
        <v>1242</v>
      </c>
      <c r="R118" s="8" t="s">
        <v>1243</v>
      </c>
      <c r="S118" s="8" t="s">
        <v>1244</v>
      </c>
      <c r="T118" s="8" t="s">
        <v>39</v>
      </c>
      <c r="U118" s="8" t="s">
        <v>39</v>
      </c>
      <c r="V118" s="8" t="s">
        <v>39</v>
      </c>
      <c r="W118" s="8" t="s">
        <v>39</v>
      </c>
      <c r="X118" s="8" t="s">
        <v>962</v>
      </c>
      <c r="Y118" s="8" t="s">
        <v>55</v>
      </c>
    </row>
    <row r="119" spans="1:25" ht="27.6">
      <c r="A119" s="8" t="s">
        <v>1245</v>
      </c>
      <c r="B119" s="8" t="s">
        <v>2252</v>
      </c>
      <c r="C119" s="8">
        <v>3</v>
      </c>
      <c r="D119" s="8" t="s">
        <v>2253</v>
      </c>
      <c r="E119" s="8" t="s">
        <v>950</v>
      </c>
      <c r="F119" s="8" t="s">
        <v>2254</v>
      </c>
      <c r="G119" s="8" t="s">
        <v>2255</v>
      </c>
      <c r="H119" s="8" t="s">
        <v>1246</v>
      </c>
      <c r="I119" s="8" t="s">
        <v>592</v>
      </c>
      <c r="J119" s="8" t="s">
        <v>1247</v>
      </c>
      <c r="K119" s="8" t="s">
        <v>1248</v>
      </c>
      <c r="L119" s="8" t="s">
        <v>1249</v>
      </c>
      <c r="M119" s="8" t="s">
        <v>32</v>
      </c>
      <c r="N119" s="8" t="s">
        <v>1250</v>
      </c>
      <c r="O119" s="8" t="s">
        <v>1251</v>
      </c>
      <c r="P119" s="8" t="s">
        <v>65</v>
      </c>
      <c r="Q119" s="8" t="s">
        <v>1252</v>
      </c>
      <c r="R119" s="8" t="s">
        <v>1253</v>
      </c>
      <c r="S119" s="8" t="s">
        <v>1254</v>
      </c>
      <c r="T119" s="8" t="s">
        <v>39</v>
      </c>
      <c r="U119" s="8" t="s">
        <v>39</v>
      </c>
      <c r="V119" s="8" t="s">
        <v>39</v>
      </c>
      <c r="W119" s="8" t="s">
        <v>39</v>
      </c>
      <c r="X119" s="8" t="s">
        <v>962</v>
      </c>
      <c r="Y119" s="8" t="s">
        <v>55</v>
      </c>
    </row>
    <row r="120" spans="1:25" ht="41.4">
      <c r="A120" s="8" t="s">
        <v>1255</v>
      </c>
      <c r="B120" s="8" t="s">
        <v>2252</v>
      </c>
      <c r="C120" s="8">
        <v>3</v>
      </c>
      <c r="D120" s="8" t="s">
        <v>2253</v>
      </c>
      <c r="E120" s="8" t="s">
        <v>950</v>
      </c>
      <c r="F120" s="8" t="s">
        <v>2254</v>
      </c>
      <c r="G120" s="8" t="s">
        <v>2255</v>
      </c>
      <c r="H120" s="8" t="s">
        <v>1256</v>
      </c>
      <c r="I120" s="8" t="s">
        <v>1257</v>
      </c>
      <c r="J120" s="8" t="s">
        <v>1258</v>
      </c>
      <c r="K120" s="8" t="s">
        <v>1259</v>
      </c>
      <c r="L120" s="8" t="s">
        <v>1260</v>
      </c>
      <c r="M120" s="8" t="s">
        <v>76</v>
      </c>
      <c r="N120" s="8" t="s">
        <v>1261</v>
      </c>
      <c r="O120" s="8" t="s">
        <v>1262</v>
      </c>
      <c r="P120" s="8" t="s">
        <v>65</v>
      </c>
      <c r="Q120" s="8" t="s">
        <v>1263</v>
      </c>
      <c r="R120" s="8" t="s">
        <v>1264</v>
      </c>
      <c r="S120" s="8" t="s">
        <v>1265</v>
      </c>
      <c r="T120" s="8" t="s">
        <v>39</v>
      </c>
      <c r="U120" s="8" t="s">
        <v>39</v>
      </c>
      <c r="V120" s="8" t="s">
        <v>39</v>
      </c>
      <c r="W120" s="8" t="s">
        <v>39</v>
      </c>
      <c r="X120" s="8" t="s">
        <v>962</v>
      </c>
      <c r="Y120" s="8" t="s">
        <v>55</v>
      </c>
    </row>
    <row r="121" spans="1:25" ht="55.2">
      <c r="A121" s="8" t="s">
        <v>1266</v>
      </c>
      <c r="B121" s="8" t="s">
        <v>2252</v>
      </c>
      <c r="C121" s="8">
        <v>3</v>
      </c>
      <c r="D121" s="8" t="s">
        <v>2253</v>
      </c>
      <c r="E121" s="8" t="s">
        <v>950</v>
      </c>
      <c r="F121" s="8" t="s">
        <v>2254</v>
      </c>
      <c r="G121" s="8" t="s">
        <v>2255</v>
      </c>
      <c r="H121" s="8" t="s">
        <v>1267</v>
      </c>
      <c r="I121" s="8" t="s">
        <v>1268</v>
      </c>
      <c r="J121" s="8" t="s">
        <v>1269</v>
      </c>
      <c r="K121" s="8" t="s">
        <v>1270</v>
      </c>
      <c r="L121" s="8" t="s">
        <v>1271</v>
      </c>
      <c r="M121" s="8" t="s">
        <v>88</v>
      </c>
      <c r="N121" s="8" t="s">
        <v>1272</v>
      </c>
      <c r="O121" s="8" t="s">
        <v>2315</v>
      </c>
      <c r="P121" s="8" t="s">
        <v>191</v>
      </c>
      <c r="Q121" s="8" t="s">
        <v>1274</v>
      </c>
      <c r="R121" s="8" t="s">
        <v>1275</v>
      </c>
      <c r="S121" s="8" t="s">
        <v>1276</v>
      </c>
      <c r="T121" s="8" t="s">
        <v>39</v>
      </c>
      <c r="U121" s="8" t="s">
        <v>39</v>
      </c>
      <c r="V121" s="8" t="s">
        <v>39</v>
      </c>
      <c r="W121" s="8" t="s">
        <v>39</v>
      </c>
      <c r="X121" s="8" t="s">
        <v>962</v>
      </c>
      <c r="Y121" s="8" t="s">
        <v>42</v>
      </c>
    </row>
    <row r="122" spans="1:25" ht="41.4">
      <c r="A122" s="8" t="s">
        <v>1277</v>
      </c>
      <c r="B122" s="8" t="s">
        <v>2252</v>
      </c>
      <c r="C122" s="8">
        <v>3</v>
      </c>
      <c r="D122" s="8" t="s">
        <v>2253</v>
      </c>
      <c r="E122" s="8" t="s">
        <v>950</v>
      </c>
      <c r="F122" s="8" t="s">
        <v>2254</v>
      </c>
      <c r="G122" s="8" t="s">
        <v>2255</v>
      </c>
      <c r="H122" s="8" t="s">
        <v>1278</v>
      </c>
      <c r="I122" s="8" t="s">
        <v>2316</v>
      </c>
      <c r="J122" s="8" t="s">
        <v>1280</v>
      </c>
      <c r="K122" s="8" t="s">
        <v>1281</v>
      </c>
      <c r="L122" s="8" t="s">
        <v>1282</v>
      </c>
      <c r="M122" s="8" t="s">
        <v>32</v>
      </c>
      <c r="N122" s="8" t="s">
        <v>1283</v>
      </c>
      <c r="O122" s="8" t="s">
        <v>1284</v>
      </c>
      <c r="P122" s="8" t="s">
        <v>65</v>
      </c>
      <c r="Q122" s="8" t="s">
        <v>1285</v>
      </c>
      <c r="R122" s="8" t="s">
        <v>1286</v>
      </c>
      <c r="S122" s="8" t="s">
        <v>1287</v>
      </c>
      <c r="T122" s="8" t="s">
        <v>39</v>
      </c>
      <c r="U122" s="8" t="s">
        <v>39</v>
      </c>
      <c r="V122" s="8" t="s">
        <v>39</v>
      </c>
      <c r="W122" s="8" t="s">
        <v>39</v>
      </c>
      <c r="X122" s="8" t="s">
        <v>962</v>
      </c>
      <c r="Y122" s="8" t="s">
        <v>55</v>
      </c>
    </row>
    <row r="123" spans="1:25" ht="41.4">
      <c r="A123" s="8" t="s">
        <v>1288</v>
      </c>
      <c r="B123" s="8" t="s">
        <v>2252</v>
      </c>
      <c r="C123" s="8">
        <v>3</v>
      </c>
      <c r="D123" s="8" t="s">
        <v>2253</v>
      </c>
      <c r="E123" s="8" t="s">
        <v>950</v>
      </c>
      <c r="F123" s="8" t="s">
        <v>2254</v>
      </c>
      <c r="G123" s="8" t="s">
        <v>2255</v>
      </c>
      <c r="H123" s="8" t="s">
        <v>1289</v>
      </c>
      <c r="I123" s="8" t="s">
        <v>1290</v>
      </c>
      <c r="J123" s="8" t="s">
        <v>1291</v>
      </c>
      <c r="K123" s="8" t="s">
        <v>1292</v>
      </c>
      <c r="L123" s="8" t="s">
        <v>2317</v>
      </c>
      <c r="M123" s="8" t="s">
        <v>88</v>
      </c>
      <c r="N123" s="8" t="s">
        <v>1294</v>
      </c>
      <c r="O123" s="8" t="s">
        <v>1295</v>
      </c>
      <c r="P123" s="8" t="s">
        <v>65</v>
      </c>
      <c r="Q123" s="8" t="s">
        <v>1296</v>
      </c>
      <c r="R123" s="8" t="s">
        <v>1297</v>
      </c>
      <c r="S123" s="8" t="s">
        <v>1298</v>
      </c>
      <c r="T123" s="8" t="s">
        <v>39</v>
      </c>
      <c r="U123" s="8" t="s">
        <v>39</v>
      </c>
      <c r="V123" s="8" t="s">
        <v>39</v>
      </c>
      <c r="W123" s="8" t="s">
        <v>39</v>
      </c>
      <c r="X123" s="8" t="s">
        <v>962</v>
      </c>
      <c r="Y123" s="8" t="s">
        <v>55</v>
      </c>
    </row>
    <row r="124" spans="1:25" ht="27.6">
      <c r="A124" s="8" t="s">
        <v>1299</v>
      </c>
      <c r="B124" s="8" t="s">
        <v>2252</v>
      </c>
      <c r="C124" s="8">
        <v>3</v>
      </c>
      <c r="D124" s="8" t="s">
        <v>2253</v>
      </c>
      <c r="E124" s="8" t="s">
        <v>950</v>
      </c>
      <c r="F124" s="8" t="s">
        <v>2254</v>
      </c>
      <c r="G124" s="8" t="s">
        <v>2255</v>
      </c>
      <c r="H124" s="8" t="s">
        <v>1300</v>
      </c>
      <c r="I124" s="8" t="s">
        <v>1301</v>
      </c>
      <c r="J124" s="8" t="s">
        <v>1302</v>
      </c>
      <c r="K124" s="8" t="s">
        <v>1303</v>
      </c>
      <c r="L124" s="8" t="s">
        <v>1197</v>
      </c>
      <c r="M124" s="8" t="s">
        <v>62</v>
      </c>
      <c r="N124" s="8" t="s">
        <v>1304</v>
      </c>
      <c r="O124" s="8" t="s">
        <v>1305</v>
      </c>
      <c r="P124" s="8" t="s">
        <v>65</v>
      </c>
      <c r="Q124" s="8" t="s">
        <v>1306</v>
      </c>
      <c r="R124" s="8" t="s">
        <v>1307</v>
      </c>
      <c r="S124" s="8" t="s">
        <v>1308</v>
      </c>
      <c r="T124" s="8" t="s">
        <v>39</v>
      </c>
      <c r="U124" s="8" t="s">
        <v>39</v>
      </c>
      <c r="V124" s="8" t="s">
        <v>39</v>
      </c>
      <c r="W124" s="8" t="s">
        <v>39</v>
      </c>
      <c r="X124" s="8" t="s">
        <v>962</v>
      </c>
      <c r="Y124" s="8" t="s">
        <v>55</v>
      </c>
    </row>
    <row r="125" spans="1:25" ht="41.4">
      <c r="A125" s="8" t="s">
        <v>1309</v>
      </c>
      <c r="B125" s="8" t="s">
        <v>2252</v>
      </c>
      <c r="C125" s="8">
        <v>3</v>
      </c>
      <c r="D125" s="8" t="s">
        <v>2253</v>
      </c>
      <c r="E125" s="8" t="s">
        <v>950</v>
      </c>
      <c r="F125" s="8" t="s">
        <v>2254</v>
      </c>
      <c r="G125" s="8" t="s">
        <v>2255</v>
      </c>
      <c r="H125" s="8" t="s">
        <v>1310</v>
      </c>
      <c r="I125" s="8" t="s">
        <v>1311</v>
      </c>
      <c r="J125" s="8" t="s">
        <v>1312</v>
      </c>
      <c r="K125" s="8" t="s">
        <v>1313</v>
      </c>
      <c r="L125" s="8" t="s">
        <v>1314</v>
      </c>
      <c r="M125" s="8" t="s">
        <v>76</v>
      </c>
      <c r="N125" s="8" t="s">
        <v>1315</v>
      </c>
      <c r="O125" s="8" t="s">
        <v>1316</v>
      </c>
      <c r="P125" s="8" t="s">
        <v>65</v>
      </c>
      <c r="Q125" s="8" t="s">
        <v>1317</v>
      </c>
      <c r="R125" s="8" t="s">
        <v>1318</v>
      </c>
      <c r="S125" s="8" t="s">
        <v>1319</v>
      </c>
      <c r="T125" s="8" t="s">
        <v>39</v>
      </c>
      <c r="U125" s="8" t="s">
        <v>39</v>
      </c>
      <c r="V125" s="8" t="s">
        <v>39</v>
      </c>
      <c r="W125" s="8" t="s">
        <v>39</v>
      </c>
      <c r="X125" s="8" t="s">
        <v>962</v>
      </c>
      <c r="Y125" s="8" t="s">
        <v>42</v>
      </c>
    </row>
    <row r="126" spans="1:25" ht="27.6">
      <c r="A126" s="8" t="s">
        <v>1320</v>
      </c>
      <c r="B126" s="8" t="s">
        <v>2252</v>
      </c>
      <c r="C126" s="8">
        <v>3</v>
      </c>
      <c r="D126" s="8" t="s">
        <v>2253</v>
      </c>
      <c r="E126" s="8" t="s">
        <v>950</v>
      </c>
      <c r="F126" s="8" t="s">
        <v>2254</v>
      </c>
      <c r="G126" s="8" t="s">
        <v>2255</v>
      </c>
      <c r="H126" s="8" t="s">
        <v>1321</v>
      </c>
      <c r="I126" s="8" t="s">
        <v>1312</v>
      </c>
      <c r="J126" s="8" t="s">
        <v>1311</v>
      </c>
      <c r="K126" s="8" t="s">
        <v>1322</v>
      </c>
      <c r="L126" s="8" t="s">
        <v>1323</v>
      </c>
      <c r="M126" s="8" t="s">
        <v>62</v>
      </c>
      <c r="N126" s="8" t="s">
        <v>1324</v>
      </c>
      <c r="O126" s="8" t="s">
        <v>1325</v>
      </c>
      <c r="P126" s="8" t="s">
        <v>65</v>
      </c>
      <c r="Q126" s="8" t="s">
        <v>1326</v>
      </c>
      <c r="R126" s="8" t="s">
        <v>1327</v>
      </c>
      <c r="S126" s="8" t="s">
        <v>1328</v>
      </c>
      <c r="T126" s="8" t="s">
        <v>39</v>
      </c>
      <c r="U126" s="8" t="s">
        <v>39</v>
      </c>
      <c r="V126" s="8" t="s">
        <v>39</v>
      </c>
      <c r="W126" s="8" t="s">
        <v>39</v>
      </c>
      <c r="X126" s="8" t="s">
        <v>962</v>
      </c>
      <c r="Y126" s="8" t="s">
        <v>42</v>
      </c>
    </row>
    <row r="127" spans="1:25" ht="41.4">
      <c r="A127" s="8" t="s">
        <v>1329</v>
      </c>
      <c r="B127" s="8" t="s">
        <v>2252</v>
      </c>
      <c r="C127" s="8">
        <v>3</v>
      </c>
      <c r="D127" s="8" t="s">
        <v>2253</v>
      </c>
      <c r="E127" s="8" t="s">
        <v>950</v>
      </c>
      <c r="F127" s="8" t="s">
        <v>2254</v>
      </c>
      <c r="G127" s="8" t="s">
        <v>2255</v>
      </c>
      <c r="H127" s="8" t="s">
        <v>1330</v>
      </c>
      <c r="I127" s="8" t="s">
        <v>1331</v>
      </c>
      <c r="J127" s="8" t="s">
        <v>689</v>
      </c>
      <c r="K127" s="8" t="s">
        <v>1332</v>
      </c>
      <c r="L127" s="8" t="s">
        <v>540</v>
      </c>
      <c r="M127" s="8" t="s">
        <v>32</v>
      </c>
      <c r="N127" s="8" t="s">
        <v>1333</v>
      </c>
      <c r="O127" s="8" t="s">
        <v>1334</v>
      </c>
      <c r="P127" s="8" t="s">
        <v>65</v>
      </c>
      <c r="Q127" s="8" t="s">
        <v>1335</v>
      </c>
      <c r="R127" s="8" t="s">
        <v>1336</v>
      </c>
      <c r="S127" s="8" t="s">
        <v>1337</v>
      </c>
      <c r="T127" s="8" t="s">
        <v>39</v>
      </c>
      <c r="U127" s="8" t="s">
        <v>39</v>
      </c>
      <c r="V127" s="8" t="s">
        <v>39</v>
      </c>
      <c r="W127" s="8" t="s">
        <v>39</v>
      </c>
      <c r="X127" s="8" t="s">
        <v>962</v>
      </c>
      <c r="Y127" s="8" t="s">
        <v>55</v>
      </c>
    </row>
    <row r="128" spans="1:25" ht="41.4">
      <c r="A128" s="8" t="s">
        <v>1338</v>
      </c>
      <c r="B128" s="8" t="s">
        <v>2252</v>
      </c>
      <c r="C128" s="8">
        <v>3</v>
      </c>
      <c r="D128" s="8" t="s">
        <v>2253</v>
      </c>
      <c r="E128" s="8" t="s">
        <v>950</v>
      </c>
      <c r="F128" s="8" t="s">
        <v>2254</v>
      </c>
      <c r="G128" s="8" t="s">
        <v>2255</v>
      </c>
      <c r="H128" s="8" t="s">
        <v>1339</v>
      </c>
      <c r="I128" s="8" t="s">
        <v>1340</v>
      </c>
      <c r="J128" s="8" t="s">
        <v>1341</v>
      </c>
      <c r="K128" s="8" t="s">
        <v>1342</v>
      </c>
      <c r="L128" s="8" t="s">
        <v>1343</v>
      </c>
      <c r="M128" s="8" t="s">
        <v>88</v>
      </c>
      <c r="N128" s="8" t="s">
        <v>1344</v>
      </c>
      <c r="O128" s="8" t="s">
        <v>1221</v>
      </c>
      <c r="P128" s="8" t="s">
        <v>65</v>
      </c>
      <c r="Q128" s="8" t="s">
        <v>1345</v>
      </c>
      <c r="R128" s="8" t="s">
        <v>1346</v>
      </c>
      <c r="S128" s="8" t="s">
        <v>1347</v>
      </c>
      <c r="T128" s="8" t="s">
        <v>39</v>
      </c>
      <c r="U128" s="8" t="s">
        <v>39</v>
      </c>
      <c r="V128" s="8" t="s">
        <v>39</v>
      </c>
      <c r="W128" s="8" t="s">
        <v>39</v>
      </c>
      <c r="X128" s="8" t="s">
        <v>962</v>
      </c>
      <c r="Y128" s="8" t="s">
        <v>42</v>
      </c>
    </row>
    <row r="129" spans="1:25" ht="41.4">
      <c r="A129" s="8" t="s">
        <v>1348</v>
      </c>
      <c r="B129" s="8" t="s">
        <v>2252</v>
      </c>
      <c r="C129" s="8">
        <v>4</v>
      </c>
      <c r="D129" s="8" t="s">
        <v>2318</v>
      </c>
      <c r="E129" s="8" t="s">
        <v>2319</v>
      </c>
      <c r="F129" s="8" t="s">
        <v>2320</v>
      </c>
      <c r="G129" s="8" t="s">
        <v>1350</v>
      </c>
      <c r="H129" s="8" t="s">
        <v>1351</v>
      </c>
      <c r="I129" s="8" t="s">
        <v>1352</v>
      </c>
      <c r="J129" s="8" t="s">
        <v>1353</v>
      </c>
      <c r="K129" s="8" t="s">
        <v>1354</v>
      </c>
      <c r="L129" s="8" t="s">
        <v>1355</v>
      </c>
      <c r="M129" s="8" t="s">
        <v>88</v>
      </c>
      <c r="N129" s="8" t="s">
        <v>1356</v>
      </c>
      <c r="O129" s="8" t="s">
        <v>1357</v>
      </c>
      <c r="P129" s="8" t="s">
        <v>65</v>
      </c>
      <c r="Q129" s="8" t="s">
        <v>1358</v>
      </c>
      <c r="R129" s="8" t="s">
        <v>1359</v>
      </c>
      <c r="S129" s="8" t="s">
        <v>1360</v>
      </c>
      <c r="T129" s="8" t="s">
        <v>39</v>
      </c>
      <c r="U129" s="8" t="s">
        <v>39</v>
      </c>
      <c r="V129" s="8" t="s">
        <v>39</v>
      </c>
      <c r="W129" s="8" t="s">
        <v>39</v>
      </c>
      <c r="X129" s="8" t="s">
        <v>1361</v>
      </c>
      <c r="Y129" s="8" t="s">
        <v>55</v>
      </c>
    </row>
    <row r="130" spans="1:25" ht="27.6">
      <c r="A130" s="8" t="s">
        <v>1362</v>
      </c>
      <c r="B130" s="8" t="s">
        <v>2252</v>
      </c>
      <c r="C130" s="8">
        <v>4</v>
      </c>
      <c r="D130" s="8" t="s">
        <v>2318</v>
      </c>
      <c r="E130" s="8" t="s">
        <v>2319</v>
      </c>
      <c r="F130" s="8" t="s">
        <v>2320</v>
      </c>
      <c r="G130" s="8" t="s">
        <v>1350</v>
      </c>
      <c r="H130" s="8" t="s">
        <v>1363</v>
      </c>
      <c r="I130" s="8" t="s">
        <v>1364</v>
      </c>
      <c r="J130" s="8" t="s">
        <v>1365</v>
      </c>
      <c r="K130" s="8" t="s">
        <v>1366</v>
      </c>
      <c r="L130" s="8" t="s">
        <v>1367</v>
      </c>
      <c r="M130" s="8" t="s">
        <v>32</v>
      </c>
      <c r="N130" s="8" t="s">
        <v>1368</v>
      </c>
      <c r="O130" s="8" t="s">
        <v>1369</v>
      </c>
      <c r="P130" s="8" t="s">
        <v>191</v>
      </c>
      <c r="Q130" s="8" t="s">
        <v>1370</v>
      </c>
      <c r="R130" s="8" t="s">
        <v>1371</v>
      </c>
      <c r="S130" s="8" t="s">
        <v>1372</v>
      </c>
      <c r="T130" s="8" t="s">
        <v>39</v>
      </c>
      <c r="U130" s="8" t="s">
        <v>39</v>
      </c>
      <c r="V130" s="8" t="s">
        <v>39</v>
      </c>
      <c r="W130" s="8" t="s">
        <v>39</v>
      </c>
      <c r="X130" s="8" t="s">
        <v>1361</v>
      </c>
      <c r="Y130" s="8" t="s">
        <v>55</v>
      </c>
    </row>
    <row r="131" spans="1:25" ht="27.6">
      <c r="A131" s="8" t="s">
        <v>1373</v>
      </c>
      <c r="B131" s="8" t="s">
        <v>2252</v>
      </c>
      <c r="C131" s="8">
        <v>4</v>
      </c>
      <c r="D131" s="8" t="s">
        <v>2318</v>
      </c>
      <c r="E131" s="8" t="s">
        <v>2319</v>
      </c>
      <c r="F131" s="8" t="s">
        <v>2320</v>
      </c>
      <c r="G131" s="8" t="s">
        <v>1350</v>
      </c>
      <c r="H131" s="8" t="s">
        <v>1374</v>
      </c>
      <c r="I131" s="8" t="s">
        <v>309</v>
      </c>
      <c r="J131" s="8" t="s">
        <v>1375</v>
      </c>
      <c r="K131" s="8" t="s">
        <v>1376</v>
      </c>
      <c r="L131" s="8" t="s">
        <v>1377</v>
      </c>
      <c r="M131" s="8" t="s">
        <v>32</v>
      </c>
      <c r="N131" s="8" t="s">
        <v>1378</v>
      </c>
      <c r="O131" s="8" t="s">
        <v>1379</v>
      </c>
      <c r="P131" s="8" t="s">
        <v>65</v>
      </c>
      <c r="Q131" s="8" t="s">
        <v>1380</v>
      </c>
      <c r="R131" s="8" t="s">
        <v>1381</v>
      </c>
      <c r="S131" s="8" t="s">
        <v>1382</v>
      </c>
      <c r="T131" s="8" t="s">
        <v>39</v>
      </c>
      <c r="U131" s="8" t="s">
        <v>39</v>
      </c>
      <c r="V131" s="8" t="s">
        <v>39</v>
      </c>
      <c r="W131" s="8" t="s">
        <v>39</v>
      </c>
      <c r="X131" s="8" t="s">
        <v>1361</v>
      </c>
      <c r="Y131" s="8" t="s">
        <v>55</v>
      </c>
    </row>
    <row r="132" spans="1:25" ht="41.4">
      <c r="A132" s="8" t="s">
        <v>1383</v>
      </c>
      <c r="B132" s="8" t="s">
        <v>2252</v>
      </c>
      <c r="C132" s="8">
        <v>4</v>
      </c>
      <c r="D132" s="8" t="s">
        <v>2318</v>
      </c>
      <c r="E132" s="8" t="s">
        <v>2319</v>
      </c>
      <c r="F132" s="8" t="s">
        <v>2320</v>
      </c>
      <c r="G132" s="8" t="s">
        <v>1350</v>
      </c>
      <c r="H132" s="8" t="s">
        <v>1384</v>
      </c>
      <c r="I132" s="8" t="s">
        <v>1364</v>
      </c>
      <c r="J132" s="8" t="s">
        <v>1385</v>
      </c>
      <c r="K132" s="8" t="s">
        <v>1367</v>
      </c>
      <c r="L132" s="8" t="s">
        <v>1386</v>
      </c>
      <c r="M132" s="8" t="s">
        <v>62</v>
      </c>
      <c r="N132" s="8" t="s">
        <v>1387</v>
      </c>
      <c r="O132" s="8" t="s">
        <v>1388</v>
      </c>
      <c r="P132" s="8" t="s">
        <v>65</v>
      </c>
      <c r="Q132" s="8" t="s">
        <v>1389</v>
      </c>
      <c r="R132" s="8" t="s">
        <v>1390</v>
      </c>
      <c r="S132" s="8" t="s">
        <v>1391</v>
      </c>
      <c r="T132" s="8" t="s">
        <v>39</v>
      </c>
      <c r="U132" s="8" t="s">
        <v>39</v>
      </c>
      <c r="V132" s="8" t="s">
        <v>39</v>
      </c>
      <c r="W132" s="8" t="s">
        <v>39</v>
      </c>
      <c r="X132" s="8" t="s">
        <v>1361</v>
      </c>
      <c r="Y132" s="8" t="s">
        <v>42</v>
      </c>
    </row>
    <row r="133" spans="1:25" ht="41.4">
      <c r="A133" s="8" t="s">
        <v>1392</v>
      </c>
      <c r="B133" s="8" t="s">
        <v>2252</v>
      </c>
      <c r="C133" s="8">
        <v>4</v>
      </c>
      <c r="D133" s="8" t="s">
        <v>2318</v>
      </c>
      <c r="E133" s="8" t="s">
        <v>2319</v>
      </c>
      <c r="F133" s="8" t="s">
        <v>2320</v>
      </c>
      <c r="G133" s="8" t="s">
        <v>1350</v>
      </c>
      <c r="H133" s="8" t="s">
        <v>1393</v>
      </c>
      <c r="I133" s="8" t="s">
        <v>1394</v>
      </c>
      <c r="J133" s="8" t="s">
        <v>1395</v>
      </c>
      <c r="K133" s="8" t="s">
        <v>1396</v>
      </c>
      <c r="L133" s="8" t="s">
        <v>1397</v>
      </c>
      <c r="M133" s="8" t="s">
        <v>88</v>
      </c>
      <c r="N133" s="8" t="s">
        <v>1398</v>
      </c>
      <c r="O133" s="8" t="s">
        <v>1399</v>
      </c>
      <c r="P133" s="8" t="s">
        <v>65</v>
      </c>
      <c r="Q133" s="8" t="s">
        <v>1400</v>
      </c>
      <c r="R133" s="8" t="s">
        <v>1401</v>
      </c>
      <c r="S133" s="8" t="s">
        <v>1402</v>
      </c>
      <c r="T133" s="8" t="s">
        <v>39</v>
      </c>
      <c r="U133" s="8" t="s">
        <v>39</v>
      </c>
      <c r="V133" s="8" t="s">
        <v>39</v>
      </c>
      <c r="W133" s="8" t="s">
        <v>39</v>
      </c>
      <c r="X133" s="8" t="s">
        <v>1361</v>
      </c>
      <c r="Y133" s="8" t="s">
        <v>55</v>
      </c>
    </row>
    <row r="134" spans="1:25" ht="69">
      <c r="A134" s="8" t="s">
        <v>1403</v>
      </c>
      <c r="B134" s="8" t="s">
        <v>2252</v>
      </c>
      <c r="C134" s="8">
        <v>4</v>
      </c>
      <c r="D134" s="8" t="s">
        <v>2318</v>
      </c>
      <c r="E134" s="8" t="s">
        <v>2319</v>
      </c>
      <c r="F134" s="8" t="s">
        <v>2320</v>
      </c>
      <c r="G134" s="8" t="s">
        <v>1350</v>
      </c>
      <c r="H134" s="8" t="s">
        <v>1404</v>
      </c>
      <c r="I134" s="8" t="s">
        <v>1405</v>
      </c>
      <c r="J134" s="8" t="s">
        <v>1406</v>
      </c>
      <c r="K134" s="8" t="s">
        <v>1407</v>
      </c>
      <c r="L134" s="8" t="s">
        <v>1408</v>
      </c>
      <c r="M134" s="8" t="s">
        <v>62</v>
      </c>
      <c r="N134" s="8" t="s">
        <v>1409</v>
      </c>
      <c r="O134" s="8" t="s">
        <v>1410</v>
      </c>
      <c r="P134" s="8" t="s">
        <v>65</v>
      </c>
      <c r="Q134" s="8" t="s">
        <v>1411</v>
      </c>
      <c r="R134" s="8" t="s">
        <v>1412</v>
      </c>
      <c r="S134" s="8" t="s">
        <v>1413</v>
      </c>
      <c r="T134" s="8" t="s">
        <v>39</v>
      </c>
      <c r="U134" s="8" t="s">
        <v>39</v>
      </c>
      <c r="V134" s="8" t="s">
        <v>39</v>
      </c>
      <c r="W134" s="8" t="s">
        <v>39</v>
      </c>
      <c r="X134" s="8" t="s">
        <v>1361</v>
      </c>
      <c r="Y134" s="8" t="s">
        <v>55</v>
      </c>
    </row>
    <row r="135" spans="1:25" ht="41.4">
      <c r="A135" s="8" t="s">
        <v>1414</v>
      </c>
      <c r="B135" s="8" t="s">
        <v>2252</v>
      </c>
      <c r="C135" s="8">
        <v>4</v>
      </c>
      <c r="D135" s="8" t="s">
        <v>2318</v>
      </c>
      <c r="E135" s="8" t="s">
        <v>2319</v>
      </c>
      <c r="F135" s="8" t="s">
        <v>2320</v>
      </c>
      <c r="G135" s="8" t="s">
        <v>1350</v>
      </c>
      <c r="H135" s="8" t="s">
        <v>1415</v>
      </c>
      <c r="I135" s="8" t="s">
        <v>1416</v>
      </c>
      <c r="J135" s="8" t="s">
        <v>1417</v>
      </c>
      <c r="K135" s="8" t="s">
        <v>1418</v>
      </c>
      <c r="L135" s="8" t="s">
        <v>1419</v>
      </c>
      <c r="M135" s="8" t="s">
        <v>88</v>
      </c>
      <c r="N135" s="8" t="s">
        <v>1420</v>
      </c>
      <c r="O135" s="8" t="s">
        <v>1421</v>
      </c>
      <c r="P135" s="8" t="s">
        <v>65</v>
      </c>
      <c r="Q135" s="8" t="s">
        <v>1422</v>
      </c>
      <c r="R135" s="8" t="s">
        <v>1423</v>
      </c>
      <c r="S135" s="8" t="s">
        <v>1424</v>
      </c>
      <c r="T135" s="8" t="s">
        <v>39</v>
      </c>
      <c r="U135" s="8" t="s">
        <v>39</v>
      </c>
      <c r="V135" s="8" t="s">
        <v>39</v>
      </c>
      <c r="W135" s="8" t="s">
        <v>39</v>
      </c>
      <c r="X135" s="8" t="s">
        <v>1361</v>
      </c>
      <c r="Y135" s="8" t="s">
        <v>55</v>
      </c>
    </row>
    <row r="136" spans="1:25" ht="27.6">
      <c r="A136" s="8" t="s">
        <v>1425</v>
      </c>
      <c r="B136" s="8" t="s">
        <v>2252</v>
      </c>
      <c r="C136" s="8">
        <v>4</v>
      </c>
      <c r="D136" s="8" t="s">
        <v>2318</v>
      </c>
      <c r="E136" s="8" t="s">
        <v>2319</v>
      </c>
      <c r="F136" s="8" t="s">
        <v>2320</v>
      </c>
      <c r="G136" s="8" t="s">
        <v>1350</v>
      </c>
      <c r="H136" s="8" t="s">
        <v>1426</v>
      </c>
      <c r="I136" s="8" t="s">
        <v>1427</v>
      </c>
      <c r="J136" s="8" t="s">
        <v>312</v>
      </c>
      <c r="K136" s="8" t="s">
        <v>1428</v>
      </c>
      <c r="L136" s="8" t="s">
        <v>1429</v>
      </c>
      <c r="M136" s="8" t="s">
        <v>88</v>
      </c>
      <c r="N136" s="8" t="s">
        <v>1430</v>
      </c>
      <c r="O136" s="8" t="s">
        <v>1431</v>
      </c>
      <c r="P136" s="8" t="s">
        <v>65</v>
      </c>
      <c r="Q136" s="8" t="s">
        <v>1432</v>
      </c>
      <c r="R136" s="8" t="s">
        <v>1433</v>
      </c>
      <c r="S136" s="8" t="s">
        <v>1434</v>
      </c>
      <c r="T136" s="8" t="s">
        <v>39</v>
      </c>
      <c r="U136" s="8" t="s">
        <v>39</v>
      </c>
      <c r="V136" s="8" t="s">
        <v>39</v>
      </c>
      <c r="W136" s="8" t="s">
        <v>39</v>
      </c>
      <c r="X136" s="8" t="s">
        <v>1361</v>
      </c>
      <c r="Y136" s="8" t="s">
        <v>55</v>
      </c>
    </row>
    <row r="137" spans="1:25" ht="41.4">
      <c r="A137" s="8" t="s">
        <v>1435</v>
      </c>
      <c r="B137" s="8" t="s">
        <v>2252</v>
      </c>
      <c r="C137" s="8">
        <v>4</v>
      </c>
      <c r="D137" s="8" t="s">
        <v>2318</v>
      </c>
      <c r="E137" s="8" t="s">
        <v>2319</v>
      </c>
      <c r="F137" s="8" t="s">
        <v>2320</v>
      </c>
      <c r="G137" s="8" t="s">
        <v>1350</v>
      </c>
      <c r="H137" s="8" t="s">
        <v>1436</v>
      </c>
      <c r="I137" s="8" t="s">
        <v>1437</v>
      </c>
      <c r="J137" s="8" t="s">
        <v>1438</v>
      </c>
      <c r="K137" s="8" t="s">
        <v>1439</v>
      </c>
      <c r="L137" s="8" t="s">
        <v>815</v>
      </c>
      <c r="M137" s="8" t="s">
        <v>32</v>
      </c>
      <c r="N137" s="8" t="s">
        <v>1440</v>
      </c>
      <c r="O137" s="8" t="s">
        <v>1441</v>
      </c>
      <c r="P137" s="8" t="s">
        <v>65</v>
      </c>
      <c r="Q137" s="8" t="s">
        <v>1442</v>
      </c>
      <c r="R137" s="8" t="s">
        <v>1443</v>
      </c>
      <c r="S137" s="8" t="s">
        <v>1444</v>
      </c>
      <c r="T137" s="8" t="s">
        <v>39</v>
      </c>
      <c r="U137" s="8" t="s">
        <v>39</v>
      </c>
      <c r="V137" s="8" t="s">
        <v>39</v>
      </c>
      <c r="W137" s="8" t="s">
        <v>39</v>
      </c>
      <c r="X137" s="8" t="s">
        <v>1361</v>
      </c>
      <c r="Y137" s="8" t="s">
        <v>55</v>
      </c>
    </row>
    <row r="138" spans="1:25" ht="41.4">
      <c r="A138" s="8" t="s">
        <v>1445</v>
      </c>
      <c r="B138" s="8" t="s">
        <v>2252</v>
      </c>
      <c r="C138" s="8">
        <v>4</v>
      </c>
      <c r="D138" s="8" t="s">
        <v>2318</v>
      </c>
      <c r="E138" s="8" t="s">
        <v>2319</v>
      </c>
      <c r="F138" s="8" t="s">
        <v>2320</v>
      </c>
      <c r="G138" s="8" t="s">
        <v>1350</v>
      </c>
      <c r="H138" s="8" t="s">
        <v>1446</v>
      </c>
      <c r="I138" s="8" t="s">
        <v>1447</v>
      </c>
      <c r="J138" s="8" t="s">
        <v>1448</v>
      </c>
      <c r="K138" s="8" t="s">
        <v>1449</v>
      </c>
      <c r="L138" s="8" t="s">
        <v>1450</v>
      </c>
      <c r="M138" s="8" t="s">
        <v>32</v>
      </c>
      <c r="N138" s="8" t="s">
        <v>1451</v>
      </c>
      <c r="O138" s="8" t="s">
        <v>1452</v>
      </c>
      <c r="P138" s="8" t="s">
        <v>191</v>
      </c>
      <c r="Q138" s="8" t="s">
        <v>1453</v>
      </c>
      <c r="R138" s="8" t="s">
        <v>1454</v>
      </c>
      <c r="S138" s="8" t="s">
        <v>1455</v>
      </c>
      <c r="T138" s="8" t="s">
        <v>39</v>
      </c>
      <c r="U138" s="8" t="s">
        <v>39</v>
      </c>
      <c r="V138" s="8" t="s">
        <v>39</v>
      </c>
      <c r="W138" s="8" t="s">
        <v>39</v>
      </c>
      <c r="X138" s="8" t="s">
        <v>1361</v>
      </c>
      <c r="Y138" s="8" t="s">
        <v>55</v>
      </c>
    </row>
    <row r="139" spans="1:25" ht="27.6">
      <c r="A139" s="8" t="s">
        <v>1456</v>
      </c>
      <c r="B139" s="8" t="s">
        <v>2252</v>
      </c>
      <c r="C139" s="8">
        <v>4</v>
      </c>
      <c r="D139" s="8" t="s">
        <v>2318</v>
      </c>
      <c r="E139" s="8" t="s">
        <v>2319</v>
      </c>
      <c r="F139" s="8" t="s">
        <v>2320</v>
      </c>
      <c r="G139" s="8" t="s">
        <v>1350</v>
      </c>
      <c r="H139" s="8" t="s">
        <v>1457</v>
      </c>
      <c r="I139" s="8" t="s">
        <v>1458</v>
      </c>
      <c r="J139" s="8" t="s">
        <v>1459</v>
      </c>
      <c r="K139" s="8" t="s">
        <v>1460</v>
      </c>
      <c r="L139" s="8" t="s">
        <v>1461</v>
      </c>
      <c r="M139" s="8" t="s">
        <v>62</v>
      </c>
      <c r="N139" s="8" t="s">
        <v>1462</v>
      </c>
      <c r="O139" s="8" t="s">
        <v>1463</v>
      </c>
      <c r="P139" s="8" t="s">
        <v>65</v>
      </c>
      <c r="Q139" s="8" t="s">
        <v>1464</v>
      </c>
      <c r="R139" s="8" t="s">
        <v>1465</v>
      </c>
      <c r="S139" s="8" t="s">
        <v>1466</v>
      </c>
      <c r="T139" s="8" t="s">
        <v>39</v>
      </c>
      <c r="U139" s="8" t="s">
        <v>39</v>
      </c>
      <c r="V139" s="8" t="s">
        <v>39</v>
      </c>
      <c r="W139" s="8" t="s">
        <v>39</v>
      </c>
      <c r="X139" s="8" t="s">
        <v>1361</v>
      </c>
      <c r="Y139" s="8" t="s">
        <v>55</v>
      </c>
    </row>
    <row r="140" spans="1:25" ht="41.4">
      <c r="A140" s="8" t="s">
        <v>1467</v>
      </c>
      <c r="B140" s="8" t="s">
        <v>2252</v>
      </c>
      <c r="C140" s="8">
        <v>4</v>
      </c>
      <c r="D140" s="8" t="s">
        <v>2318</v>
      </c>
      <c r="E140" s="8" t="s">
        <v>2319</v>
      </c>
      <c r="F140" s="8" t="s">
        <v>2320</v>
      </c>
      <c r="G140" s="8" t="s">
        <v>1350</v>
      </c>
      <c r="H140" s="8" t="s">
        <v>1468</v>
      </c>
      <c r="I140" s="8" t="s">
        <v>1469</v>
      </c>
      <c r="J140" s="8" t="s">
        <v>1470</v>
      </c>
      <c r="K140" s="8" t="s">
        <v>1386</v>
      </c>
      <c r="L140" s="8" t="s">
        <v>1471</v>
      </c>
      <c r="M140" s="8" t="s">
        <v>62</v>
      </c>
      <c r="N140" s="8" t="s">
        <v>1472</v>
      </c>
      <c r="O140" s="8" t="s">
        <v>1473</v>
      </c>
      <c r="P140" s="8" t="s">
        <v>191</v>
      </c>
      <c r="Q140" s="8" t="s">
        <v>1474</v>
      </c>
      <c r="R140" s="8" t="s">
        <v>1475</v>
      </c>
      <c r="S140" s="8" t="s">
        <v>1476</v>
      </c>
      <c r="T140" s="8" t="s">
        <v>39</v>
      </c>
      <c r="U140" s="8" t="s">
        <v>39</v>
      </c>
      <c r="V140" s="8" t="s">
        <v>39</v>
      </c>
      <c r="W140" s="8" t="s">
        <v>39</v>
      </c>
      <c r="X140" s="8" t="s">
        <v>1361</v>
      </c>
      <c r="Y140" s="8" t="s">
        <v>55</v>
      </c>
    </row>
    <row r="141" spans="1:25" ht="27.6">
      <c r="A141" s="8" t="s">
        <v>1477</v>
      </c>
      <c r="B141" s="8" t="s">
        <v>2252</v>
      </c>
      <c r="C141" s="8">
        <v>4</v>
      </c>
      <c r="D141" s="8" t="s">
        <v>2318</v>
      </c>
      <c r="E141" s="8" t="s">
        <v>2319</v>
      </c>
      <c r="F141" s="8" t="s">
        <v>2320</v>
      </c>
      <c r="G141" s="8" t="s">
        <v>1350</v>
      </c>
      <c r="H141" s="8" t="s">
        <v>1478</v>
      </c>
      <c r="I141" s="8" t="s">
        <v>1479</v>
      </c>
      <c r="J141" s="8" t="s">
        <v>1480</v>
      </c>
      <c r="K141" s="8" t="s">
        <v>1481</v>
      </c>
      <c r="L141" s="8" t="s">
        <v>1482</v>
      </c>
      <c r="M141" s="8" t="s">
        <v>32</v>
      </c>
      <c r="N141" s="8" t="s">
        <v>1483</v>
      </c>
      <c r="O141" s="8" t="s">
        <v>1484</v>
      </c>
      <c r="P141" s="8" t="s">
        <v>65</v>
      </c>
      <c r="Q141" s="8" t="s">
        <v>1485</v>
      </c>
      <c r="R141" s="8" t="s">
        <v>1486</v>
      </c>
      <c r="S141" s="8" t="s">
        <v>1487</v>
      </c>
      <c r="T141" s="8" t="s">
        <v>39</v>
      </c>
      <c r="U141" s="8" t="s">
        <v>39</v>
      </c>
      <c r="V141" s="8" t="s">
        <v>39</v>
      </c>
      <c r="W141" s="8" t="s">
        <v>39</v>
      </c>
      <c r="X141" s="8" t="s">
        <v>1361</v>
      </c>
      <c r="Y141" s="8" t="s">
        <v>55</v>
      </c>
    </row>
    <row r="142" spans="1:25" ht="41.4">
      <c r="A142" s="8" t="s">
        <v>1488</v>
      </c>
      <c r="B142" s="8" t="s">
        <v>2252</v>
      </c>
      <c r="C142" s="8">
        <v>4</v>
      </c>
      <c r="D142" s="8" t="s">
        <v>2318</v>
      </c>
      <c r="E142" s="8" t="s">
        <v>2319</v>
      </c>
      <c r="F142" s="8" t="s">
        <v>2320</v>
      </c>
      <c r="G142" s="8" t="s">
        <v>1350</v>
      </c>
      <c r="H142" s="8" t="s">
        <v>1489</v>
      </c>
      <c r="I142" s="8" t="s">
        <v>1490</v>
      </c>
      <c r="J142" s="8" t="s">
        <v>1437</v>
      </c>
      <c r="K142" s="8" t="s">
        <v>1491</v>
      </c>
      <c r="L142" s="8" t="s">
        <v>1492</v>
      </c>
      <c r="M142" s="8" t="s">
        <v>88</v>
      </c>
      <c r="N142" s="8" t="s">
        <v>1493</v>
      </c>
      <c r="O142" s="8" t="s">
        <v>1494</v>
      </c>
      <c r="P142" s="8" t="s">
        <v>65</v>
      </c>
      <c r="Q142" s="8" t="s">
        <v>1495</v>
      </c>
      <c r="R142" s="8" t="s">
        <v>1496</v>
      </c>
      <c r="S142" s="8" t="s">
        <v>1497</v>
      </c>
      <c r="T142" s="8" t="s">
        <v>39</v>
      </c>
      <c r="U142" s="8" t="s">
        <v>39</v>
      </c>
      <c r="V142" s="8" t="s">
        <v>39</v>
      </c>
      <c r="W142" s="8" t="s">
        <v>39</v>
      </c>
      <c r="X142" s="8" t="s">
        <v>1361</v>
      </c>
      <c r="Y142" s="8" t="s">
        <v>55</v>
      </c>
    </row>
    <row r="143" spans="1:25" ht="41.4">
      <c r="A143" s="8" t="s">
        <v>1498</v>
      </c>
      <c r="B143" s="8" t="s">
        <v>2252</v>
      </c>
      <c r="C143" s="8">
        <v>4</v>
      </c>
      <c r="D143" s="8" t="s">
        <v>2318</v>
      </c>
      <c r="E143" s="8" t="s">
        <v>2319</v>
      </c>
      <c r="F143" s="8" t="s">
        <v>2320</v>
      </c>
      <c r="G143" s="8" t="s">
        <v>1350</v>
      </c>
      <c r="H143" s="8" t="s">
        <v>1499</v>
      </c>
      <c r="I143" s="8" t="s">
        <v>1500</v>
      </c>
      <c r="J143" s="8" t="s">
        <v>1501</v>
      </c>
      <c r="K143" s="8" t="s">
        <v>1502</v>
      </c>
      <c r="L143" s="8" t="s">
        <v>1503</v>
      </c>
      <c r="M143" s="8" t="s">
        <v>62</v>
      </c>
      <c r="N143" s="8" t="s">
        <v>1504</v>
      </c>
      <c r="O143" s="8" t="s">
        <v>1505</v>
      </c>
      <c r="P143" s="8" t="s">
        <v>65</v>
      </c>
      <c r="Q143" s="8" t="s">
        <v>1453</v>
      </c>
      <c r="R143" s="8" t="s">
        <v>1506</v>
      </c>
      <c r="S143" s="8" t="s">
        <v>1507</v>
      </c>
      <c r="T143" s="8" t="s">
        <v>39</v>
      </c>
      <c r="U143" s="8" t="s">
        <v>39</v>
      </c>
      <c r="V143" s="8" t="s">
        <v>39</v>
      </c>
      <c r="W143" s="8" t="s">
        <v>39</v>
      </c>
      <c r="X143" s="8" t="s">
        <v>1361</v>
      </c>
      <c r="Y143" s="8" t="s">
        <v>55</v>
      </c>
    </row>
    <row r="144" spans="1:25" ht="27.6">
      <c r="A144" s="8" t="s">
        <v>1508</v>
      </c>
      <c r="B144" s="8" t="s">
        <v>2252</v>
      </c>
      <c r="C144" s="8">
        <v>4</v>
      </c>
      <c r="D144" s="8" t="s">
        <v>2318</v>
      </c>
      <c r="E144" s="8" t="s">
        <v>2319</v>
      </c>
      <c r="F144" s="8" t="s">
        <v>2320</v>
      </c>
      <c r="G144" s="8" t="s">
        <v>1350</v>
      </c>
      <c r="H144" s="8" t="s">
        <v>1509</v>
      </c>
      <c r="I144" s="8" t="s">
        <v>777</v>
      </c>
      <c r="J144" s="8" t="s">
        <v>778</v>
      </c>
      <c r="K144" s="8" t="s">
        <v>779</v>
      </c>
      <c r="L144" s="8" t="s">
        <v>780</v>
      </c>
      <c r="M144" s="8" t="s">
        <v>88</v>
      </c>
      <c r="N144" s="8" t="s">
        <v>1510</v>
      </c>
      <c r="O144" s="8" t="s">
        <v>2321</v>
      </c>
      <c r="P144" s="8" t="s">
        <v>65</v>
      </c>
      <c r="Q144" s="8" t="s">
        <v>821</v>
      </c>
      <c r="R144" s="8" t="s">
        <v>1512</v>
      </c>
      <c r="S144" s="8" t="s">
        <v>1513</v>
      </c>
      <c r="T144" s="8" t="s">
        <v>39</v>
      </c>
      <c r="U144" s="8" t="s">
        <v>39</v>
      </c>
      <c r="V144" s="8" t="s">
        <v>39</v>
      </c>
      <c r="W144" s="8" t="s">
        <v>39</v>
      </c>
      <c r="X144" s="8" t="s">
        <v>1361</v>
      </c>
      <c r="Y144" s="8" t="s">
        <v>55</v>
      </c>
    </row>
    <row r="145" spans="1:25" ht="27.6">
      <c r="A145" s="8" t="s">
        <v>1514</v>
      </c>
      <c r="B145" s="8" t="s">
        <v>2252</v>
      </c>
      <c r="C145" s="8">
        <v>4</v>
      </c>
      <c r="D145" s="8" t="s">
        <v>2318</v>
      </c>
      <c r="E145" s="8" t="s">
        <v>2319</v>
      </c>
      <c r="F145" s="8" t="s">
        <v>2320</v>
      </c>
      <c r="G145" s="8" t="s">
        <v>1350</v>
      </c>
      <c r="H145" s="8" t="s">
        <v>1515</v>
      </c>
      <c r="I145" s="8" t="s">
        <v>1516</v>
      </c>
      <c r="J145" s="8" t="s">
        <v>1517</v>
      </c>
      <c r="K145" s="8" t="s">
        <v>1428</v>
      </c>
      <c r="L145" s="8" t="s">
        <v>1518</v>
      </c>
      <c r="M145" s="8" t="s">
        <v>62</v>
      </c>
      <c r="N145" s="8" t="s">
        <v>1519</v>
      </c>
      <c r="O145" s="8" t="s">
        <v>2322</v>
      </c>
      <c r="P145" s="8" t="s">
        <v>65</v>
      </c>
      <c r="Q145" s="8" t="s">
        <v>1521</v>
      </c>
      <c r="R145" s="8" t="s">
        <v>1522</v>
      </c>
      <c r="S145" s="8" t="s">
        <v>1523</v>
      </c>
      <c r="T145" s="8" t="s">
        <v>39</v>
      </c>
      <c r="U145" s="8" t="s">
        <v>39</v>
      </c>
      <c r="V145" s="8" t="s">
        <v>39</v>
      </c>
      <c r="W145" s="8" t="s">
        <v>39</v>
      </c>
      <c r="X145" s="8" t="s">
        <v>1361</v>
      </c>
      <c r="Y145" s="8" t="s">
        <v>55</v>
      </c>
    </row>
    <row r="146" spans="1:25" ht="41.4">
      <c r="A146" s="8" t="s">
        <v>1524</v>
      </c>
      <c r="B146" s="8" t="s">
        <v>2252</v>
      </c>
      <c r="C146" s="8">
        <v>4</v>
      </c>
      <c r="D146" s="8" t="s">
        <v>2318</v>
      </c>
      <c r="E146" s="8" t="s">
        <v>2319</v>
      </c>
      <c r="F146" s="8" t="s">
        <v>2320</v>
      </c>
      <c r="G146" s="8" t="s">
        <v>1350</v>
      </c>
      <c r="H146" s="8" t="s">
        <v>1525</v>
      </c>
      <c r="I146" s="8" t="s">
        <v>1526</v>
      </c>
      <c r="J146" s="8" t="s">
        <v>1527</v>
      </c>
      <c r="K146" s="8" t="s">
        <v>1528</v>
      </c>
      <c r="L146" s="8" t="s">
        <v>1529</v>
      </c>
      <c r="M146" s="8" t="s">
        <v>76</v>
      </c>
      <c r="N146" s="8" t="s">
        <v>1530</v>
      </c>
      <c r="O146" s="8" t="s">
        <v>1531</v>
      </c>
      <c r="P146" s="8" t="s">
        <v>191</v>
      </c>
      <c r="Q146" s="8" t="s">
        <v>1532</v>
      </c>
      <c r="R146" s="8" t="s">
        <v>1533</v>
      </c>
      <c r="S146" s="8" t="s">
        <v>1534</v>
      </c>
      <c r="T146" s="8" t="s">
        <v>39</v>
      </c>
      <c r="U146" s="8" t="s">
        <v>39</v>
      </c>
      <c r="V146" s="8" t="s">
        <v>39</v>
      </c>
      <c r="W146" s="8" t="s">
        <v>39</v>
      </c>
      <c r="X146" s="8" t="s">
        <v>1361</v>
      </c>
      <c r="Y146" s="8" t="s">
        <v>55</v>
      </c>
    </row>
    <row r="147" spans="1:25" ht="41.4">
      <c r="A147" s="8" t="s">
        <v>1535</v>
      </c>
      <c r="B147" s="8" t="s">
        <v>2252</v>
      </c>
      <c r="C147" s="8">
        <v>4</v>
      </c>
      <c r="D147" s="8" t="s">
        <v>2318</v>
      </c>
      <c r="E147" s="8" t="s">
        <v>2319</v>
      </c>
      <c r="F147" s="8" t="s">
        <v>2320</v>
      </c>
      <c r="G147" s="8" t="s">
        <v>1350</v>
      </c>
      <c r="H147" s="8" t="s">
        <v>1536</v>
      </c>
      <c r="I147" s="8" t="s">
        <v>1537</v>
      </c>
      <c r="J147" s="8" t="s">
        <v>1538</v>
      </c>
      <c r="K147" s="8" t="s">
        <v>1539</v>
      </c>
      <c r="L147" s="8" t="s">
        <v>1540</v>
      </c>
      <c r="M147" s="8" t="s">
        <v>32</v>
      </c>
      <c r="N147" s="8" t="s">
        <v>1541</v>
      </c>
      <c r="O147" s="8" t="s">
        <v>1542</v>
      </c>
      <c r="P147" s="8" t="s">
        <v>65</v>
      </c>
      <c r="Q147" s="8" t="s">
        <v>1543</v>
      </c>
      <c r="R147" s="8" t="s">
        <v>1544</v>
      </c>
      <c r="S147" s="8" t="s">
        <v>1545</v>
      </c>
      <c r="T147" s="8" t="s">
        <v>39</v>
      </c>
      <c r="U147" s="8" t="s">
        <v>39</v>
      </c>
      <c r="V147" s="8" t="s">
        <v>39</v>
      </c>
      <c r="W147" s="8" t="s">
        <v>39</v>
      </c>
      <c r="X147" s="8" t="s">
        <v>1361</v>
      </c>
      <c r="Y147" s="8" t="s">
        <v>55</v>
      </c>
    </row>
    <row r="148" spans="1:25" ht="41.4">
      <c r="A148" s="8" t="s">
        <v>1546</v>
      </c>
      <c r="B148" s="8" t="s">
        <v>2252</v>
      </c>
      <c r="C148" s="8">
        <v>4</v>
      </c>
      <c r="D148" s="8" t="s">
        <v>2318</v>
      </c>
      <c r="E148" s="8" t="s">
        <v>2319</v>
      </c>
      <c r="F148" s="8" t="s">
        <v>2320</v>
      </c>
      <c r="G148" s="8" t="s">
        <v>1350</v>
      </c>
      <c r="H148" s="8" t="s">
        <v>1547</v>
      </c>
      <c r="I148" s="8" t="s">
        <v>1548</v>
      </c>
      <c r="J148" s="8" t="s">
        <v>1549</v>
      </c>
      <c r="K148" s="8" t="s">
        <v>1550</v>
      </c>
      <c r="L148" s="8" t="s">
        <v>1551</v>
      </c>
      <c r="M148" s="8" t="s">
        <v>32</v>
      </c>
      <c r="N148" s="8" t="s">
        <v>1552</v>
      </c>
      <c r="O148" s="8" t="s">
        <v>1553</v>
      </c>
      <c r="P148" s="8" t="s">
        <v>191</v>
      </c>
      <c r="Q148" s="8" t="s">
        <v>1554</v>
      </c>
      <c r="R148" s="8" t="s">
        <v>1555</v>
      </c>
      <c r="S148" s="8" t="s">
        <v>1556</v>
      </c>
      <c r="T148" s="8" t="s">
        <v>39</v>
      </c>
      <c r="U148" s="8" t="s">
        <v>39</v>
      </c>
      <c r="V148" s="8" t="s">
        <v>39</v>
      </c>
      <c r="W148" s="8" t="s">
        <v>39</v>
      </c>
      <c r="X148" s="8" t="s">
        <v>1361</v>
      </c>
      <c r="Y148" s="8" t="s">
        <v>55</v>
      </c>
    </row>
    <row r="149" spans="1:25" ht="69">
      <c r="A149" s="8" t="s">
        <v>1557</v>
      </c>
      <c r="B149" s="8" t="s">
        <v>2252</v>
      </c>
      <c r="C149" s="8">
        <v>4</v>
      </c>
      <c r="D149" s="8" t="s">
        <v>2318</v>
      </c>
      <c r="E149" s="8" t="s">
        <v>2319</v>
      </c>
      <c r="F149" s="8" t="s">
        <v>2323</v>
      </c>
      <c r="G149" s="8" t="s">
        <v>2324</v>
      </c>
      <c r="H149" s="8" t="s">
        <v>1558</v>
      </c>
      <c r="I149" s="8" t="s">
        <v>1559</v>
      </c>
      <c r="J149" s="8" t="s">
        <v>1560</v>
      </c>
      <c r="K149" s="8" t="s">
        <v>1561</v>
      </c>
      <c r="L149" s="8" t="s">
        <v>1562</v>
      </c>
      <c r="M149" s="8" t="s">
        <v>88</v>
      </c>
      <c r="N149" s="8" t="s">
        <v>1563</v>
      </c>
      <c r="O149" s="8" t="s">
        <v>1564</v>
      </c>
      <c r="P149" s="8" t="s">
        <v>191</v>
      </c>
      <c r="Q149" s="8" t="s">
        <v>1565</v>
      </c>
      <c r="R149" s="8" t="s">
        <v>1566</v>
      </c>
      <c r="S149" s="8" t="s">
        <v>1567</v>
      </c>
      <c r="T149" s="8" t="s">
        <v>39</v>
      </c>
      <c r="U149" s="8" t="s">
        <v>39</v>
      </c>
      <c r="V149" s="8" t="s">
        <v>39</v>
      </c>
      <c r="W149" s="8" t="s">
        <v>39</v>
      </c>
      <c r="X149" s="8" t="s">
        <v>1361</v>
      </c>
      <c r="Y149" s="8" t="s">
        <v>55</v>
      </c>
    </row>
    <row r="150" spans="1:25" ht="27.6">
      <c r="A150" s="8" t="s">
        <v>1568</v>
      </c>
      <c r="B150" s="8" t="s">
        <v>2252</v>
      </c>
      <c r="C150" s="8">
        <v>4</v>
      </c>
      <c r="D150" s="8" t="s">
        <v>2318</v>
      </c>
      <c r="E150" s="8" t="s">
        <v>2319</v>
      </c>
      <c r="F150" s="8" t="s">
        <v>2323</v>
      </c>
      <c r="G150" s="8" t="s">
        <v>2324</v>
      </c>
      <c r="H150" s="8" t="s">
        <v>1570</v>
      </c>
      <c r="I150" s="8" t="s">
        <v>1571</v>
      </c>
      <c r="J150" s="8" t="s">
        <v>1572</v>
      </c>
      <c r="K150" s="8" t="s">
        <v>1573</v>
      </c>
      <c r="L150" s="8" t="s">
        <v>902</v>
      </c>
      <c r="M150" s="8" t="s">
        <v>62</v>
      </c>
      <c r="N150" s="8" t="s">
        <v>1574</v>
      </c>
      <c r="O150" s="8" t="s">
        <v>2325</v>
      </c>
      <c r="P150" s="8" t="s">
        <v>191</v>
      </c>
      <c r="Q150" s="8" t="s">
        <v>1575</v>
      </c>
      <c r="R150" s="8" t="s">
        <v>1576</v>
      </c>
      <c r="S150" s="8" t="s">
        <v>1577</v>
      </c>
      <c r="T150" s="8" t="s">
        <v>39</v>
      </c>
      <c r="U150" s="8" t="s">
        <v>39</v>
      </c>
      <c r="V150" s="8" t="s">
        <v>39</v>
      </c>
      <c r="W150" s="8" t="s">
        <v>39</v>
      </c>
      <c r="X150" s="8" t="s">
        <v>1361</v>
      </c>
      <c r="Y150" s="8" t="s">
        <v>55</v>
      </c>
    </row>
    <row r="151" spans="1:25" ht="27.6">
      <c r="A151" s="8" t="s">
        <v>1578</v>
      </c>
      <c r="B151" s="8" t="s">
        <v>2252</v>
      </c>
      <c r="C151" s="8">
        <v>4</v>
      </c>
      <c r="D151" s="8" t="s">
        <v>2318</v>
      </c>
      <c r="E151" s="8" t="s">
        <v>2319</v>
      </c>
      <c r="F151" s="8" t="s">
        <v>2323</v>
      </c>
      <c r="G151" s="8" t="s">
        <v>2324</v>
      </c>
      <c r="H151" s="8" t="s">
        <v>1579</v>
      </c>
      <c r="I151" s="8" t="s">
        <v>1580</v>
      </c>
      <c r="J151" s="8" t="s">
        <v>1581</v>
      </c>
      <c r="K151" s="8" t="s">
        <v>1582</v>
      </c>
      <c r="L151" s="8" t="s">
        <v>1583</v>
      </c>
      <c r="M151" s="8" t="s">
        <v>32</v>
      </c>
      <c r="N151" s="8" t="s">
        <v>1584</v>
      </c>
      <c r="O151" s="8" t="s">
        <v>1585</v>
      </c>
      <c r="P151" s="8" t="s">
        <v>65</v>
      </c>
      <c r="Q151" s="8" t="s">
        <v>1586</v>
      </c>
      <c r="R151" s="8" t="s">
        <v>1587</v>
      </c>
      <c r="S151" s="8" t="s">
        <v>1588</v>
      </c>
      <c r="T151" s="8" t="s">
        <v>39</v>
      </c>
      <c r="U151" s="8" t="s">
        <v>39</v>
      </c>
      <c r="V151" s="8" t="s">
        <v>39</v>
      </c>
      <c r="W151" s="8" t="s">
        <v>39</v>
      </c>
      <c r="X151" s="8" t="s">
        <v>1361</v>
      </c>
      <c r="Y151" s="8" t="s">
        <v>42</v>
      </c>
    </row>
    <row r="152" spans="1:25" ht="27.6">
      <c r="A152" s="8" t="s">
        <v>1589</v>
      </c>
      <c r="B152" s="8" t="s">
        <v>2252</v>
      </c>
      <c r="C152" s="8">
        <v>4</v>
      </c>
      <c r="D152" s="8" t="s">
        <v>2318</v>
      </c>
      <c r="E152" s="8" t="s">
        <v>2319</v>
      </c>
      <c r="F152" s="8" t="s">
        <v>2323</v>
      </c>
      <c r="G152" s="8" t="s">
        <v>2324</v>
      </c>
      <c r="H152" s="8" t="s">
        <v>1590</v>
      </c>
      <c r="I152" s="8" t="s">
        <v>1591</v>
      </c>
      <c r="J152" s="8" t="s">
        <v>1559</v>
      </c>
      <c r="K152" s="8" t="s">
        <v>1592</v>
      </c>
      <c r="L152" s="8" t="s">
        <v>1593</v>
      </c>
      <c r="M152" s="8" t="s">
        <v>62</v>
      </c>
      <c r="N152" s="8" t="s">
        <v>1594</v>
      </c>
      <c r="O152" s="8" t="s">
        <v>1595</v>
      </c>
      <c r="P152" s="8" t="s">
        <v>65</v>
      </c>
      <c r="Q152" s="8" t="s">
        <v>1565</v>
      </c>
      <c r="R152" s="8" t="s">
        <v>1596</v>
      </c>
      <c r="S152" s="8" t="s">
        <v>1597</v>
      </c>
      <c r="T152" s="8" t="s">
        <v>39</v>
      </c>
      <c r="U152" s="8" t="s">
        <v>39</v>
      </c>
      <c r="V152" s="8" t="s">
        <v>39</v>
      </c>
      <c r="W152" s="8" t="s">
        <v>39</v>
      </c>
      <c r="X152" s="8" t="s">
        <v>1361</v>
      </c>
      <c r="Y152" s="8" t="s">
        <v>55</v>
      </c>
    </row>
    <row r="153" spans="1:25" ht="41.4">
      <c r="A153" s="8" t="s">
        <v>1598</v>
      </c>
      <c r="B153" s="8" t="s">
        <v>2252</v>
      </c>
      <c r="C153" s="8">
        <v>4</v>
      </c>
      <c r="D153" s="8" t="s">
        <v>2318</v>
      </c>
      <c r="E153" s="8" t="s">
        <v>2319</v>
      </c>
      <c r="F153" s="8" t="s">
        <v>2323</v>
      </c>
      <c r="G153" s="8" t="s">
        <v>2324</v>
      </c>
      <c r="H153" s="8" t="s">
        <v>1599</v>
      </c>
      <c r="I153" s="8" t="s">
        <v>1600</v>
      </c>
      <c r="J153" s="8" t="s">
        <v>1601</v>
      </c>
      <c r="K153" s="8" t="s">
        <v>1602</v>
      </c>
      <c r="L153" s="8" t="s">
        <v>1603</v>
      </c>
      <c r="M153" s="8" t="s">
        <v>76</v>
      </c>
      <c r="N153" s="8" t="s">
        <v>1604</v>
      </c>
      <c r="O153" s="8" t="s">
        <v>1605</v>
      </c>
      <c r="P153" s="8" t="s">
        <v>65</v>
      </c>
      <c r="Q153" s="8" t="s">
        <v>555</v>
      </c>
      <c r="R153" s="8" t="s">
        <v>1606</v>
      </c>
      <c r="S153" s="8" t="s">
        <v>1607</v>
      </c>
      <c r="T153" s="8" t="s">
        <v>39</v>
      </c>
      <c r="U153" s="8" t="s">
        <v>39</v>
      </c>
      <c r="V153" s="8" t="s">
        <v>39</v>
      </c>
      <c r="W153" s="8" t="s">
        <v>39</v>
      </c>
      <c r="X153" s="8" t="s">
        <v>1361</v>
      </c>
      <c r="Y153" s="8" t="s">
        <v>42</v>
      </c>
    </row>
    <row r="154" spans="1:25" ht="27.6">
      <c r="A154" s="8" t="s">
        <v>1608</v>
      </c>
      <c r="B154" s="8" t="s">
        <v>2252</v>
      </c>
      <c r="C154" s="8">
        <v>4</v>
      </c>
      <c r="D154" s="8" t="s">
        <v>2318</v>
      </c>
      <c r="E154" s="8" t="s">
        <v>2319</v>
      </c>
      <c r="F154" s="8" t="s">
        <v>2323</v>
      </c>
      <c r="G154" s="8" t="s">
        <v>2324</v>
      </c>
      <c r="H154" s="8" t="s">
        <v>1609</v>
      </c>
      <c r="I154" s="8" t="s">
        <v>1610</v>
      </c>
      <c r="J154" s="8" t="s">
        <v>1611</v>
      </c>
      <c r="K154" s="8" t="s">
        <v>1612</v>
      </c>
      <c r="L154" s="8" t="s">
        <v>1613</v>
      </c>
      <c r="M154" s="8" t="s">
        <v>88</v>
      </c>
      <c r="N154" s="8" t="s">
        <v>1614</v>
      </c>
      <c r="O154" s="8" t="s">
        <v>1615</v>
      </c>
      <c r="P154" s="8" t="s">
        <v>65</v>
      </c>
      <c r="Q154" s="8" t="s">
        <v>1616</v>
      </c>
      <c r="R154" s="8" t="s">
        <v>1617</v>
      </c>
      <c r="S154" s="8" t="s">
        <v>1618</v>
      </c>
      <c r="T154" s="8" t="s">
        <v>39</v>
      </c>
      <c r="U154" s="8" t="s">
        <v>39</v>
      </c>
      <c r="V154" s="8" t="s">
        <v>39</v>
      </c>
      <c r="W154" s="8" t="s">
        <v>39</v>
      </c>
      <c r="X154" s="8" t="s">
        <v>1361</v>
      </c>
      <c r="Y154" s="8" t="s">
        <v>55</v>
      </c>
    </row>
    <row r="155" spans="1:25" ht="27.6">
      <c r="A155" s="8" t="s">
        <v>1619</v>
      </c>
      <c r="B155" s="8" t="s">
        <v>2252</v>
      </c>
      <c r="C155" s="8">
        <v>4</v>
      </c>
      <c r="D155" s="8" t="s">
        <v>2318</v>
      </c>
      <c r="E155" s="8" t="s">
        <v>2319</v>
      </c>
      <c r="F155" s="8" t="s">
        <v>2323</v>
      </c>
      <c r="G155" s="8" t="s">
        <v>2324</v>
      </c>
      <c r="H155" s="8" t="s">
        <v>1620</v>
      </c>
      <c r="I155" s="8" t="s">
        <v>1621</v>
      </c>
      <c r="J155" s="8" t="s">
        <v>1622</v>
      </c>
      <c r="K155" s="8" t="s">
        <v>1623</v>
      </c>
      <c r="L155" s="8" t="s">
        <v>1624</v>
      </c>
      <c r="M155" s="8" t="s">
        <v>88</v>
      </c>
      <c r="N155" s="8" t="s">
        <v>1625</v>
      </c>
      <c r="O155" s="8" t="s">
        <v>1626</v>
      </c>
      <c r="P155" s="8" t="s">
        <v>65</v>
      </c>
      <c r="Q155" s="8" t="s">
        <v>1627</v>
      </c>
      <c r="R155" s="8" t="s">
        <v>1628</v>
      </c>
      <c r="S155" s="8" t="s">
        <v>1629</v>
      </c>
      <c r="T155" s="8" t="s">
        <v>39</v>
      </c>
      <c r="U155" s="8" t="s">
        <v>39</v>
      </c>
      <c r="V155" s="8" t="s">
        <v>39</v>
      </c>
      <c r="W155" s="8" t="s">
        <v>39</v>
      </c>
      <c r="X155" s="8" t="s">
        <v>1361</v>
      </c>
      <c r="Y155" s="8" t="s">
        <v>55</v>
      </c>
    </row>
    <row r="156" spans="1:25" ht="27.6">
      <c r="A156" s="8" t="s">
        <v>1630</v>
      </c>
      <c r="B156" s="8" t="s">
        <v>2252</v>
      </c>
      <c r="C156" s="8">
        <v>4</v>
      </c>
      <c r="D156" s="8" t="s">
        <v>2318</v>
      </c>
      <c r="E156" s="8" t="s">
        <v>2319</v>
      </c>
      <c r="F156" s="8" t="s">
        <v>2323</v>
      </c>
      <c r="G156" s="8" t="s">
        <v>2324</v>
      </c>
      <c r="H156" s="8" t="s">
        <v>1631</v>
      </c>
      <c r="I156" s="8" t="s">
        <v>1632</v>
      </c>
      <c r="J156" s="8" t="s">
        <v>1633</v>
      </c>
      <c r="K156" s="8" t="s">
        <v>1634</v>
      </c>
      <c r="L156" s="8" t="s">
        <v>1635</v>
      </c>
      <c r="M156" s="8" t="s">
        <v>76</v>
      </c>
      <c r="N156" s="8" t="s">
        <v>1636</v>
      </c>
      <c r="O156" s="8" t="s">
        <v>1637</v>
      </c>
      <c r="P156" s="8" t="s">
        <v>65</v>
      </c>
      <c r="Q156" s="8" t="s">
        <v>1638</v>
      </c>
      <c r="R156" s="8" t="s">
        <v>1639</v>
      </c>
      <c r="S156" s="8" t="s">
        <v>1640</v>
      </c>
      <c r="T156" s="8" t="s">
        <v>39</v>
      </c>
      <c r="U156" s="8" t="s">
        <v>39</v>
      </c>
      <c r="V156" s="8" t="s">
        <v>39</v>
      </c>
      <c r="W156" s="8" t="s">
        <v>39</v>
      </c>
      <c r="X156" s="8" t="s">
        <v>1361</v>
      </c>
      <c r="Y156" s="8" t="s">
        <v>55</v>
      </c>
    </row>
    <row r="157" spans="1:25" ht="41.4">
      <c r="A157" s="8" t="s">
        <v>1641</v>
      </c>
      <c r="B157" s="8" t="s">
        <v>2252</v>
      </c>
      <c r="C157" s="8">
        <v>4</v>
      </c>
      <c r="D157" s="8" t="s">
        <v>2318</v>
      </c>
      <c r="E157" s="8" t="s">
        <v>2319</v>
      </c>
      <c r="F157" s="8" t="s">
        <v>2323</v>
      </c>
      <c r="G157" s="8" t="s">
        <v>2324</v>
      </c>
      <c r="H157" s="8" t="s">
        <v>1642</v>
      </c>
      <c r="I157" s="8" t="s">
        <v>1643</v>
      </c>
      <c r="J157" s="8" t="s">
        <v>1644</v>
      </c>
      <c r="K157" s="8" t="s">
        <v>1645</v>
      </c>
      <c r="L157" s="8" t="s">
        <v>1646</v>
      </c>
      <c r="M157" s="8" t="s">
        <v>62</v>
      </c>
      <c r="N157" s="8" t="s">
        <v>1647</v>
      </c>
      <c r="O157" s="8" t="s">
        <v>1648</v>
      </c>
      <c r="P157" s="8" t="s">
        <v>65</v>
      </c>
      <c r="Q157" s="8" t="s">
        <v>1649</v>
      </c>
      <c r="R157" s="8" t="s">
        <v>1650</v>
      </c>
      <c r="S157" s="8" t="s">
        <v>1651</v>
      </c>
      <c r="T157" s="8" t="s">
        <v>39</v>
      </c>
      <c r="U157" s="8" t="s">
        <v>39</v>
      </c>
      <c r="V157" s="8" t="s">
        <v>39</v>
      </c>
      <c r="W157" s="8" t="s">
        <v>39</v>
      </c>
      <c r="X157" s="8" t="s">
        <v>1361</v>
      </c>
      <c r="Y157" s="8" t="s">
        <v>55</v>
      </c>
    </row>
    <row r="158" spans="1:25" ht="27.6">
      <c r="A158" s="8" t="s">
        <v>1652</v>
      </c>
      <c r="B158" s="8" t="s">
        <v>2252</v>
      </c>
      <c r="C158" s="8">
        <v>4</v>
      </c>
      <c r="D158" s="8" t="s">
        <v>2318</v>
      </c>
      <c r="E158" s="8" t="s">
        <v>2319</v>
      </c>
      <c r="F158" s="8" t="s">
        <v>2323</v>
      </c>
      <c r="G158" s="8" t="s">
        <v>2324</v>
      </c>
      <c r="H158" s="8" t="s">
        <v>1653</v>
      </c>
      <c r="I158" s="8" t="s">
        <v>827</v>
      </c>
      <c r="J158" s="8" t="s">
        <v>1654</v>
      </c>
      <c r="K158" s="8" t="s">
        <v>1655</v>
      </c>
      <c r="L158" s="8" t="s">
        <v>1656</v>
      </c>
      <c r="M158" s="8" t="s">
        <v>32</v>
      </c>
      <c r="N158" s="8" t="s">
        <v>1657</v>
      </c>
      <c r="O158" s="8" t="s">
        <v>1658</v>
      </c>
      <c r="P158" s="8" t="s">
        <v>65</v>
      </c>
      <c r="Q158" s="8" t="s">
        <v>1659</v>
      </c>
      <c r="R158" s="8" t="s">
        <v>1660</v>
      </c>
      <c r="S158" s="8" t="s">
        <v>1661</v>
      </c>
      <c r="T158" s="8" t="s">
        <v>39</v>
      </c>
      <c r="U158" s="8" t="s">
        <v>39</v>
      </c>
      <c r="V158" s="8" t="s">
        <v>39</v>
      </c>
      <c r="W158" s="8" t="s">
        <v>39</v>
      </c>
      <c r="X158" s="8" t="s">
        <v>1361</v>
      </c>
      <c r="Y158" s="8" t="s">
        <v>42</v>
      </c>
    </row>
    <row r="159" spans="1:25" ht="41.4">
      <c r="A159" s="8" t="s">
        <v>1662</v>
      </c>
      <c r="B159" s="8" t="s">
        <v>2252</v>
      </c>
      <c r="C159" s="8">
        <v>4</v>
      </c>
      <c r="D159" s="8" t="s">
        <v>2318</v>
      </c>
      <c r="E159" s="8" t="s">
        <v>2319</v>
      </c>
      <c r="F159" s="8" t="s">
        <v>2323</v>
      </c>
      <c r="G159" s="8" t="s">
        <v>2324</v>
      </c>
      <c r="H159" s="8" t="s">
        <v>1663</v>
      </c>
      <c r="I159" s="8" t="s">
        <v>1664</v>
      </c>
      <c r="J159" s="8" t="s">
        <v>1665</v>
      </c>
      <c r="K159" s="8" t="s">
        <v>1666</v>
      </c>
      <c r="L159" s="8" t="s">
        <v>1667</v>
      </c>
      <c r="M159" s="8" t="s">
        <v>88</v>
      </c>
      <c r="N159" s="8" t="s">
        <v>1668</v>
      </c>
      <c r="O159" s="8" t="s">
        <v>1669</v>
      </c>
      <c r="P159" s="8" t="s">
        <v>65</v>
      </c>
      <c r="Q159" s="8" t="s">
        <v>1670</v>
      </c>
      <c r="R159" s="8" t="s">
        <v>1671</v>
      </c>
      <c r="S159" s="8" t="s">
        <v>1672</v>
      </c>
      <c r="T159" s="8" t="s">
        <v>39</v>
      </c>
      <c r="U159" s="8" t="s">
        <v>39</v>
      </c>
      <c r="V159" s="8" t="s">
        <v>39</v>
      </c>
      <c r="W159" s="8" t="s">
        <v>39</v>
      </c>
      <c r="X159" s="8" t="s">
        <v>1361</v>
      </c>
      <c r="Y159" s="8" t="s">
        <v>55</v>
      </c>
    </row>
    <row r="160" spans="1:25" ht="41.4">
      <c r="A160" s="8" t="s">
        <v>1673</v>
      </c>
      <c r="B160" s="8" t="s">
        <v>2252</v>
      </c>
      <c r="C160" s="8">
        <v>4</v>
      </c>
      <c r="D160" s="8" t="s">
        <v>2318</v>
      </c>
      <c r="E160" s="8" t="s">
        <v>2319</v>
      </c>
      <c r="F160" s="8" t="s">
        <v>2326</v>
      </c>
      <c r="G160" s="8" t="s">
        <v>2327</v>
      </c>
      <c r="H160" s="8" t="s">
        <v>1675</v>
      </c>
      <c r="I160" s="8" t="s">
        <v>886</v>
      </c>
      <c r="J160" s="8" t="s">
        <v>1676</v>
      </c>
      <c r="K160" s="8" t="s">
        <v>1677</v>
      </c>
      <c r="L160" s="8" t="s">
        <v>1678</v>
      </c>
      <c r="M160" s="8" t="s">
        <v>88</v>
      </c>
      <c r="N160" s="8" t="s">
        <v>1679</v>
      </c>
      <c r="O160" s="8" t="s">
        <v>1680</v>
      </c>
      <c r="P160" s="8" t="s">
        <v>191</v>
      </c>
      <c r="Q160" s="8" t="s">
        <v>1681</v>
      </c>
      <c r="R160" s="8" t="s">
        <v>1682</v>
      </c>
      <c r="S160" s="8" t="s">
        <v>1683</v>
      </c>
      <c r="T160" s="8" t="s">
        <v>39</v>
      </c>
      <c r="U160" s="8" t="s">
        <v>39</v>
      </c>
      <c r="V160" s="8" t="s">
        <v>39</v>
      </c>
      <c r="W160" s="8" t="s">
        <v>39</v>
      </c>
      <c r="X160" s="8" t="s">
        <v>1361</v>
      </c>
      <c r="Y160" s="8" t="s">
        <v>42</v>
      </c>
    </row>
    <row r="161" spans="1:25" ht="41.4">
      <c r="A161" s="8" t="s">
        <v>1684</v>
      </c>
      <c r="B161" s="8" t="s">
        <v>2252</v>
      </c>
      <c r="C161" s="8">
        <v>4</v>
      </c>
      <c r="D161" s="8" t="s">
        <v>2318</v>
      </c>
      <c r="E161" s="8" t="s">
        <v>2319</v>
      </c>
      <c r="F161" s="8" t="s">
        <v>2326</v>
      </c>
      <c r="G161" s="8" t="s">
        <v>2327</v>
      </c>
      <c r="H161" s="8" t="s">
        <v>1685</v>
      </c>
      <c r="I161" s="8" t="s">
        <v>915</v>
      </c>
      <c r="J161" s="8" t="s">
        <v>1686</v>
      </c>
      <c r="K161" s="8" t="s">
        <v>1687</v>
      </c>
      <c r="L161" s="8" t="s">
        <v>1688</v>
      </c>
      <c r="M161" s="8" t="s">
        <v>32</v>
      </c>
      <c r="N161" s="8" t="s">
        <v>1689</v>
      </c>
      <c r="O161" s="8" t="s">
        <v>1690</v>
      </c>
      <c r="P161" s="8" t="s">
        <v>65</v>
      </c>
      <c r="Q161" s="8" t="s">
        <v>1691</v>
      </c>
      <c r="R161" s="8" t="s">
        <v>1692</v>
      </c>
      <c r="S161" s="8" t="s">
        <v>1693</v>
      </c>
      <c r="T161" s="8" t="s">
        <v>39</v>
      </c>
      <c r="U161" s="8" t="s">
        <v>39</v>
      </c>
      <c r="V161" s="8" t="s">
        <v>39</v>
      </c>
      <c r="W161" s="8" t="s">
        <v>39</v>
      </c>
      <c r="X161" s="8" t="s">
        <v>1361</v>
      </c>
      <c r="Y161" s="8" t="s">
        <v>55</v>
      </c>
    </row>
    <row r="162" spans="1:25" ht="27.6">
      <c r="A162" s="8" t="s">
        <v>1694</v>
      </c>
      <c r="B162" s="8" t="s">
        <v>2252</v>
      </c>
      <c r="C162" s="8">
        <v>4</v>
      </c>
      <c r="D162" s="8" t="s">
        <v>2318</v>
      </c>
      <c r="E162" s="8" t="s">
        <v>2319</v>
      </c>
      <c r="F162" s="8" t="s">
        <v>2326</v>
      </c>
      <c r="G162" s="8" t="s">
        <v>2327</v>
      </c>
      <c r="H162" s="8" t="s">
        <v>1695</v>
      </c>
      <c r="I162" s="8" t="s">
        <v>1632</v>
      </c>
      <c r="J162" s="8" t="s">
        <v>1696</v>
      </c>
      <c r="K162" s="8" t="s">
        <v>1697</v>
      </c>
      <c r="L162" s="8" t="s">
        <v>1698</v>
      </c>
      <c r="M162" s="8" t="s">
        <v>32</v>
      </c>
      <c r="N162" s="8" t="s">
        <v>1699</v>
      </c>
      <c r="O162" s="8" t="s">
        <v>1700</v>
      </c>
      <c r="P162" s="8" t="s">
        <v>65</v>
      </c>
      <c r="Q162" s="8" t="s">
        <v>1701</v>
      </c>
      <c r="R162" s="8" t="s">
        <v>1702</v>
      </c>
      <c r="S162" s="8" t="s">
        <v>1703</v>
      </c>
      <c r="T162" s="8" t="s">
        <v>39</v>
      </c>
      <c r="U162" s="8" t="s">
        <v>39</v>
      </c>
      <c r="V162" s="8" t="s">
        <v>39</v>
      </c>
      <c r="W162" s="8" t="s">
        <v>39</v>
      </c>
      <c r="X162" s="8" t="s">
        <v>1361</v>
      </c>
      <c r="Y162" s="8" t="s">
        <v>55</v>
      </c>
    </row>
    <row r="163" spans="1:25" ht="41.4">
      <c r="A163" s="8" t="s">
        <v>1704</v>
      </c>
      <c r="B163" s="8" t="s">
        <v>2252</v>
      </c>
      <c r="C163" s="8">
        <v>4</v>
      </c>
      <c r="D163" s="8" t="s">
        <v>2318</v>
      </c>
      <c r="E163" s="8" t="s">
        <v>2319</v>
      </c>
      <c r="F163" s="8" t="s">
        <v>2326</v>
      </c>
      <c r="G163" s="8" t="s">
        <v>2327</v>
      </c>
      <c r="H163" s="8" t="s">
        <v>1705</v>
      </c>
      <c r="I163" s="8" t="s">
        <v>1706</v>
      </c>
      <c r="J163" s="8" t="s">
        <v>1707</v>
      </c>
      <c r="K163" s="8" t="s">
        <v>1708</v>
      </c>
      <c r="L163" s="8" t="s">
        <v>1709</v>
      </c>
      <c r="M163" s="8" t="s">
        <v>62</v>
      </c>
      <c r="N163" s="8" t="s">
        <v>1710</v>
      </c>
      <c r="O163" s="8" t="s">
        <v>1711</v>
      </c>
      <c r="P163" s="8" t="s">
        <v>65</v>
      </c>
      <c r="Q163" s="8" t="s">
        <v>1712</v>
      </c>
      <c r="R163" s="8" t="s">
        <v>1713</v>
      </c>
      <c r="S163" s="8" t="s">
        <v>1714</v>
      </c>
      <c r="T163" s="8" t="s">
        <v>39</v>
      </c>
      <c r="U163" s="8" t="s">
        <v>39</v>
      </c>
      <c r="V163" s="8" t="s">
        <v>39</v>
      </c>
      <c r="W163" s="8" t="s">
        <v>39</v>
      </c>
      <c r="X163" s="8" t="s">
        <v>1361</v>
      </c>
      <c r="Y163" s="8" t="s">
        <v>55</v>
      </c>
    </row>
    <row r="164" spans="1:25" ht="41.4">
      <c r="A164" s="8" t="s">
        <v>1715</v>
      </c>
      <c r="B164" s="8" t="s">
        <v>2252</v>
      </c>
      <c r="C164" s="8">
        <v>4</v>
      </c>
      <c r="D164" s="8" t="s">
        <v>2318</v>
      </c>
      <c r="E164" s="8" t="s">
        <v>2319</v>
      </c>
      <c r="F164" s="8" t="s">
        <v>2326</v>
      </c>
      <c r="G164" s="8" t="s">
        <v>2327</v>
      </c>
      <c r="H164" s="8" t="s">
        <v>1716</v>
      </c>
      <c r="I164" s="8" t="s">
        <v>1717</v>
      </c>
      <c r="J164" s="8" t="s">
        <v>1718</v>
      </c>
      <c r="K164" s="8" t="s">
        <v>1719</v>
      </c>
      <c r="L164" s="8" t="s">
        <v>1720</v>
      </c>
      <c r="M164" s="8" t="s">
        <v>32</v>
      </c>
      <c r="N164" s="8" t="s">
        <v>1721</v>
      </c>
      <c r="O164" s="8" t="s">
        <v>1722</v>
      </c>
      <c r="P164" s="8" t="s">
        <v>191</v>
      </c>
      <c r="Q164" s="8" t="s">
        <v>1712</v>
      </c>
      <c r="R164" s="8" t="s">
        <v>1723</v>
      </c>
      <c r="S164" s="8" t="s">
        <v>1724</v>
      </c>
      <c r="T164" s="8" t="s">
        <v>39</v>
      </c>
      <c r="U164" s="8" t="s">
        <v>39</v>
      </c>
      <c r="V164" s="8" t="s">
        <v>39</v>
      </c>
      <c r="W164" s="8" t="s">
        <v>39</v>
      </c>
      <c r="X164" s="8" t="s">
        <v>1361</v>
      </c>
      <c r="Y164" s="8" t="s">
        <v>42</v>
      </c>
    </row>
    <row r="165" spans="1:25" ht="27.6">
      <c r="A165" s="8" t="s">
        <v>1725</v>
      </c>
      <c r="B165" s="8" t="s">
        <v>2252</v>
      </c>
      <c r="C165" s="8">
        <v>4</v>
      </c>
      <c r="D165" s="8" t="s">
        <v>2318</v>
      </c>
      <c r="E165" s="8" t="s">
        <v>2319</v>
      </c>
      <c r="F165" s="8" t="s">
        <v>2326</v>
      </c>
      <c r="G165" s="8" t="s">
        <v>2327</v>
      </c>
      <c r="H165" s="8" t="s">
        <v>1726</v>
      </c>
      <c r="I165" s="8" t="s">
        <v>1727</v>
      </c>
      <c r="J165" s="8" t="s">
        <v>1728</v>
      </c>
      <c r="K165" s="8" t="s">
        <v>1729</v>
      </c>
      <c r="L165" s="8" t="s">
        <v>1730</v>
      </c>
      <c r="M165" s="8" t="s">
        <v>32</v>
      </c>
      <c r="N165" s="8" t="s">
        <v>1731</v>
      </c>
      <c r="O165" s="8" t="s">
        <v>1732</v>
      </c>
      <c r="P165" s="8" t="s">
        <v>65</v>
      </c>
      <c r="Q165" s="8" t="s">
        <v>1733</v>
      </c>
      <c r="R165" s="8" t="s">
        <v>1734</v>
      </c>
      <c r="S165" s="8" t="s">
        <v>1735</v>
      </c>
      <c r="T165" s="8" t="s">
        <v>39</v>
      </c>
      <c r="U165" s="8" t="s">
        <v>39</v>
      </c>
      <c r="V165" s="8" t="s">
        <v>39</v>
      </c>
      <c r="W165" s="8" t="s">
        <v>39</v>
      </c>
      <c r="X165" s="8" t="s">
        <v>1361</v>
      </c>
      <c r="Y165" s="8" t="s">
        <v>42</v>
      </c>
    </row>
    <row r="166" spans="1:25" ht="27.6">
      <c r="A166" s="8" t="s">
        <v>1736</v>
      </c>
      <c r="B166" s="8" t="s">
        <v>2252</v>
      </c>
      <c r="C166" s="8">
        <v>4</v>
      </c>
      <c r="D166" s="8" t="s">
        <v>2318</v>
      </c>
      <c r="E166" s="8" t="s">
        <v>2319</v>
      </c>
      <c r="F166" s="8" t="s">
        <v>2326</v>
      </c>
      <c r="G166" s="8" t="s">
        <v>2327</v>
      </c>
      <c r="H166" s="8" t="s">
        <v>1737</v>
      </c>
      <c r="I166" s="8" t="s">
        <v>1738</v>
      </c>
      <c r="J166" s="8" t="s">
        <v>1739</v>
      </c>
      <c r="K166" s="8" t="s">
        <v>1740</v>
      </c>
      <c r="L166" s="8" t="s">
        <v>1741</v>
      </c>
      <c r="M166" s="8" t="s">
        <v>88</v>
      </c>
      <c r="N166" s="8" t="s">
        <v>1742</v>
      </c>
      <c r="O166" s="8" t="s">
        <v>1743</v>
      </c>
      <c r="P166" s="8" t="s">
        <v>65</v>
      </c>
      <c r="Q166" s="8" t="s">
        <v>1712</v>
      </c>
      <c r="R166" s="8" t="s">
        <v>1744</v>
      </c>
      <c r="S166" s="8" t="s">
        <v>1745</v>
      </c>
      <c r="T166" s="8" t="s">
        <v>39</v>
      </c>
      <c r="U166" s="8" t="s">
        <v>39</v>
      </c>
      <c r="V166" s="8" t="s">
        <v>39</v>
      </c>
      <c r="W166" s="8" t="s">
        <v>39</v>
      </c>
      <c r="X166" s="8" t="s">
        <v>1361</v>
      </c>
      <c r="Y166" s="8" t="s">
        <v>55</v>
      </c>
    </row>
    <row r="167" spans="1:25" ht="41.4">
      <c r="A167" s="8" t="s">
        <v>1746</v>
      </c>
      <c r="B167" s="8" t="s">
        <v>2252</v>
      </c>
      <c r="C167" s="8">
        <v>4</v>
      </c>
      <c r="D167" s="8" t="s">
        <v>2318</v>
      </c>
      <c r="E167" s="8" t="s">
        <v>2319</v>
      </c>
      <c r="F167" s="8" t="s">
        <v>2326</v>
      </c>
      <c r="G167" s="8" t="s">
        <v>2327</v>
      </c>
      <c r="H167" s="8" t="s">
        <v>1747</v>
      </c>
      <c r="I167" s="8" t="s">
        <v>1748</v>
      </c>
      <c r="J167" s="8" t="s">
        <v>1749</v>
      </c>
      <c r="K167" s="8" t="s">
        <v>1750</v>
      </c>
      <c r="L167" s="8" t="s">
        <v>1751</v>
      </c>
      <c r="M167" s="8" t="s">
        <v>88</v>
      </c>
      <c r="N167" s="8" t="s">
        <v>1752</v>
      </c>
      <c r="O167" s="8" t="s">
        <v>1753</v>
      </c>
      <c r="P167" s="8" t="s">
        <v>65</v>
      </c>
      <c r="Q167" s="8" t="s">
        <v>1754</v>
      </c>
      <c r="R167" s="8" t="s">
        <v>1755</v>
      </c>
      <c r="S167" s="8" t="s">
        <v>1703</v>
      </c>
      <c r="T167" s="8" t="s">
        <v>39</v>
      </c>
      <c r="U167" s="8" t="s">
        <v>39</v>
      </c>
      <c r="V167" s="8" t="s">
        <v>39</v>
      </c>
      <c r="W167" s="8" t="s">
        <v>39</v>
      </c>
      <c r="X167" s="8" t="s">
        <v>1361</v>
      </c>
      <c r="Y167" s="8" t="s">
        <v>55</v>
      </c>
    </row>
    <row r="168" spans="1:25" ht="69">
      <c r="A168" s="8" t="s">
        <v>1756</v>
      </c>
      <c r="B168" s="8" t="s">
        <v>2252</v>
      </c>
      <c r="C168" s="8">
        <v>4</v>
      </c>
      <c r="D168" s="8" t="s">
        <v>2318</v>
      </c>
      <c r="E168" s="8" t="s">
        <v>2319</v>
      </c>
      <c r="F168" s="8" t="s">
        <v>2326</v>
      </c>
      <c r="G168" s="8" t="s">
        <v>2327</v>
      </c>
      <c r="H168" s="8" t="s">
        <v>1757</v>
      </c>
      <c r="I168" s="8" t="s">
        <v>1758</v>
      </c>
      <c r="J168" s="8" t="s">
        <v>1759</v>
      </c>
      <c r="K168" s="8" t="s">
        <v>1760</v>
      </c>
      <c r="L168" s="8" t="s">
        <v>1761</v>
      </c>
      <c r="M168" s="8" t="s">
        <v>76</v>
      </c>
      <c r="N168" s="8" t="s">
        <v>1762</v>
      </c>
      <c r="O168" s="8" t="s">
        <v>1763</v>
      </c>
      <c r="P168" s="8" t="s">
        <v>65</v>
      </c>
      <c r="Q168" s="8" t="s">
        <v>1764</v>
      </c>
      <c r="R168" s="8" t="s">
        <v>1765</v>
      </c>
      <c r="S168" s="8" t="s">
        <v>1766</v>
      </c>
      <c r="T168" s="8" t="s">
        <v>39</v>
      </c>
      <c r="U168" s="8" t="s">
        <v>39</v>
      </c>
      <c r="V168" s="8" t="s">
        <v>39</v>
      </c>
      <c r="W168" s="8" t="s">
        <v>39</v>
      </c>
      <c r="X168" s="8" t="s">
        <v>1361</v>
      </c>
      <c r="Y168" s="8" t="s">
        <v>55</v>
      </c>
    </row>
    <row r="169" spans="1:25" ht="41.4">
      <c r="A169" s="8" t="s">
        <v>1767</v>
      </c>
      <c r="B169" s="8" t="s">
        <v>2252</v>
      </c>
      <c r="C169" s="8">
        <v>4</v>
      </c>
      <c r="D169" s="8" t="s">
        <v>2318</v>
      </c>
      <c r="E169" s="8" t="s">
        <v>2319</v>
      </c>
      <c r="F169" s="8" t="s">
        <v>2326</v>
      </c>
      <c r="G169" s="8" t="s">
        <v>2327</v>
      </c>
      <c r="H169" s="8" t="s">
        <v>1768</v>
      </c>
      <c r="I169" s="8" t="s">
        <v>1769</v>
      </c>
      <c r="J169" s="8" t="s">
        <v>1770</v>
      </c>
      <c r="K169" s="8" t="s">
        <v>1771</v>
      </c>
      <c r="L169" s="8" t="s">
        <v>1772</v>
      </c>
      <c r="M169" s="8" t="s">
        <v>88</v>
      </c>
      <c r="N169" s="8" t="s">
        <v>1773</v>
      </c>
      <c r="O169" s="8" t="s">
        <v>1774</v>
      </c>
      <c r="P169" s="8" t="s">
        <v>65</v>
      </c>
      <c r="Q169" s="8" t="s">
        <v>1775</v>
      </c>
      <c r="R169" s="8" t="s">
        <v>1776</v>
      </c>
      <c r="S169" s="8" t="s">
        <v>1777</v>
      </c>
      <c r="T169" s="8" t="s">
        <v>39</v>
      </c>
      <c r="U169" s="8" t="s">
        <v>39</v>
      </c>
      <c r="V169" s="8" t="s">
        <v>39</v>
      </c>
      <c r="W169" s="8" t="s">
        <v>39</v>
      </c>
      <c r="X169" s="8" t="s">
        <v>1361</v>
      </c>
      <c r="Y169" s="8" t="s">
        <v>55</v>
      </c>
    </row>
    <row r="170" spans="1:25" ht="41.4">
      <c r="A170" s="8" t="s">
        <v>1778</v>
      </c>
      <c r="B170" s="8" t="s">
        <v>2252</v>
      </c>
      <c r="C170" s="8">
        <v>4</v>
      </c>
      <c r="D170" s="8" t="s">
        <v>2318</v>
      </c>
      <c r="E170" s="8" t="s">
        <v>2319</v>
      </c>
      <c r="F170" s="8" t="s">
        <v>2326</v>
      </c>
      <c r="G170" s="8" t="s">
        <v>2327</v>
      </c>
      <c r="H170" s="8" t="s">
        <v>1779</v>
      </c>
      <c r="I170" s="8" t="s">
        <v>1780</v>
      </c>
      <c r="J170" s="8" t="s">
        <v>1781</v>
      </c>
      <c r="K170" s="8" t="s">
        <v>1782</v>
      </c>
      <c r="L170" s="8" t="s">
        <v>1783</v>
      </c>
      <c r="M170" s="8" t="s">
        <v>62</v>
      </c>
      <c r="N170" s="8" t="s">
        <v>1784</v>
      </c>
      <c r="O170" s="8" t="s">
        <v>2328</v>
      </c>
      <c r="P170" s="8" t="s">
        <v>65</v>
      </c>
      <c r="Q170" s="8" t="s">
        <v>1786</v>
      </c>
      <c r="R170" s="8" t="s">
        <v>1787</v>
      </c>
      <c r="S170" s="8" t="s">
        <v>1788</v>
      </c>
      <c r="T170" s="8" t="s">
        <v>39</v>
      </c>
      <c r="U170" s="8" t="s">
        <v>39</v>
      </c>
      <c r="V170" s="8" t="s">
        <v>39</v>
      </c>
      <c r="W170" s="8" t="s">
        <v>39</v>
      </c>
      <c r="X170" s="8" t="s">
        <v>1361</v>
      </c>
      <c r="Y170" s="8" t="s">
        <v>55</v>
      </c>
    </row>
    <row r="171" spans="1:25" ht="41.4">
      <c r="A171" s="8" t="s">
        <v>1789</v>
      </c>
      <c r="B171" s="8" t="s">
        <v>2252</v>
      </c>
      <c r="C171" s="8">
        <v>4</v>
      </c>
      <c r="D171" s="8" t="s">
        <v>2318</v>
      </c>
      <c r="E171" s="8" t="s">
        <v>2319</v>
      </c>
      <c r="F171" s="8" t="s">
        <v>2326</v>
      </c>
      <c r="G171" s="8" t="s">
        <v>2327</v>
      </c>
      <c r="H171" s="8" t="s">
        <v>1790</v>
      </c>
      <c r="I171" s="8" t="s">
        <v>1791</v>
      </c>
      <c r="J171" s="8" t="s">
        <v>1739</v>
      </c>
      <c r="K171" s="8" t="s">
        <v>1792</v>
      </c>
      <c r="L171" s="8" t="s">
        <v>1741</v>
      </c>
      <c r="M171" s="8" t="s">
        <v>88</v>
      </c>
      <c r="N171" s="8" t="s">
        <v>1793</v>
      </c>
      <c r="O171" s="8" t="s">
        <v>1722</v>
      </c>
      <c r="P171" s="8" t="s">
        <v>65</v>
      </c>
      <c r="Q171" s="8" t="s">
        <v>1794</v>
      </c>
      <c r="R171" s="8" t="s">
        <v>1723</v>
      </c>
      <c r="S171" s="8" t="s">
        <v>1724</v>
      </c>
      <c r="T171" s="8" t="s">
        <v>39</v>
      </c>
      <c r="U171" s="8" t="s">
        <v>39</v>
      </c>
      <c r="V171" s="8" t="s">
        <v>39</v>
      </c>
      <c r="W171" s="8" t="s">
        <v>39</v>
      </c>
      <c r="X171" s="8" t="s">
        <v>1361</v>
      </c>
      <c r="Y171" s="8" t="s">
        <v>55</v>
      </c>
    </row>
    <row r="172" spans="1:25" ht="41.4">
      <c r="A172" s="8" t="s">
        <v>1795</v>
      </c>
      <c r="B172" s="8" t="s">
        <v>2252</v>
      </c>
      <c r="C172" s="8">
        <v>4</v>
      </c>
      <c r="D172" s="8" t="s">
        <v>2318</v>
      </c>
      <c r="E172" s="8" t="s">
        <v>2319</v>
      </c>
      <c r="F172" s="8" t="s">
        <v>2326</v>
      </c>
      <c r="G172" s="8" t="s">
        <v>2327</v>
      </c>
      <c r="H172" s="8" t="s">
        <v>1796</v>
      </c>
      <c r="I172" s="8" t="s">
        <v>1797</v>
      </c>
      <c r="J172" s="8" t="s">
        <v>1798</v>
      </c>
      <c r="K172" s="8" t="s">
        <v>915</v>
      </c>
      <c r="L172" s="8" t="s">
        <v>1799</v>
      </c>
      <c r="M172" s="8" t="s">
        <v>32</v>
      </c>
      <c r="N172" s="8" t="s">
        <v>1800</v>
      </c>
      <c r="O172" s="8" t="s">
        <v>1801</v>
      </c>
      <c r="P172" s="8" t="s">
        <v>191</v>
      </c>
      <c r="Q172" s="8" t="s">
        <v>1802</v>
      </c>
      <c r="R172" s="8" t="s">
        <v>1803</v>
      </c>
      <c r="S172" s="8" t="s">
        <v>1804</v>
      </c>
      <c r="T172" s="8" t="s">
        <v>39</v>
      </c>
      <c r="U172" s="8" t="s">
        <v>39</v>
      </c>
      <c r="V172" s="8" t="s">
        <v>39</v>
      </c>
      <c r="W172" s="8" t="s">
        <v>39</v>
      </c>
      <c r="X172" s="8" t="s">
        <v>1361</v>
      </c>
      <c r="Y172" s="8" t="s">
        <v>42</v>
      </c>
    </row>
    <row r="173" spans="1:25" ht="41.4">
      <c r="A173" s="8" t="s">
        <v>1805</v>
      </c>
      <c r="B173" s="8" t="s">
        <v>2252</v>
      </c>
      <c r="C173" s="8">
        <v>4</v>
      </c>
      <c r="D173" s="8" t="s">
        <v>2318</v>
      </c>
      <c r="E173" s="8" t="s">
        <v>2319</v>
      </c>
      <c r="F173" s="8" t="s">
        <v>2326</v>
      </c>
      <c r="G173" s="8" t="s">
        <v>2327</v>
      </c>
      <c r="H173" s="8" t="s">
        <v>1806</v>
      </c>
      <c r="I173" s="8" t="s">
        <v>1807</v>
      </c>
      <c r="J173" s="8" t="s">
        <v>1808</v>
      </c>
      <c r="K173" s="8" t="s">
        <v>280</v>
      </c>
      <c r="L173" s="8" t="s">
        <v>1809</v>
      </c>
      <c r="M173" s="8" t="s">
        <v>32</v>
      </c>
      <c r="N173" s="8" t="s">
        <v>1810</v>
      </c>
      <c r="O173" s="8" t="s">
        <v>1811</v>
      </c>
      <c r="P173" s="8" t="s">
        <v>35</v>
      </c>
      <c r="Q173" s="8" t="s">
        <v>1812</v>
      </c>
      <c r="R173" s="8" t="s">
        <v>1813</v>
      </c>
      <c r="S173" s="8" t="s">
        <v>1814</v>
      </c>
      <c r="T173" s="8" t="s">
        <v>39</v>
      </c>
      <c r="U173" s="8" t="s">
        <v>39</v>
      </c>
      <c r="V173" s="8" t="s">
        <v>39</v>
      </c>
      <c r="W173" s="8" t="s">
        <v>39</v>
      </c>
      <c r="X173" s="8" t="s">
        <v>1361</v>
      </c>
      <c r="Y173" s="8" t="s">
        <v>55</v>
      </c>
    </row>
    <row r="174" spans="1:25" ht="55.2">
      <c r="A174" s="8" t="s">
        <v>1815</v>
      </c>
      <c r="B174" s="8" t="s">
        <v>2252</v>
      </c>
      <c r="C174" s="8">
        <v>5</v>
      </c>
      <c r="D174" s="8" t="s">
        <v>2259</v>
      </c>
      <c r="E174" s="8" t="s">
        <v>1816</v>
      </c>
      <c r="F174" s="8" t="s">
        <v>2260</v>
      </c>
      <c r="G174" s="8" t="s">
        <v>2261</v>
      </c>
      <c r="H174" s="8" t="s">
        <v>1818</v>
      </c>
      <c r="I174" s="8" t="s">
        <v>1819</v>
      </c>
      <c r="J174" s="8" t="s">
        <v>1820</v>
      </c>
      <c r="K174" s="8" t="s">
        <v>1821</v>
      </c>
      <c r="L174" s="8" t="s">
        <v>1822</v>
      </c>
      <c r="M174" s="8" t="s">
        <v>62</v>
      </c>
      <c r="N174" s="8" t="s">
        <v>1823</v>
      </c>
      <c r="O174" s="8" t="s">
        <v>1824</v>
      </c>
      <c r="P174" s="8" t="s">
        <v>65</v>
      </c>
      <c r="Q174" s="8" t="s">
        <v>1825</v>
      </c>
      <c r="R174" s="8" t="s">
        <v>1826</v>
      </c>
      <c r="S174" s="8" t="s">
        <v>1827</v>
      </c>
      <c r="T174" s="8" t="s">
        <v>39</v>
      </c>
      <c r="U174" s="8" t="s">
        <v>39</v>
      </c>
      <c r="V174" s="8" t="s">
        <v>39</v>
      </c>
      <c r="W174" s="8" t="s">
        <v>39</v>
      </c>
      <c r="X174" s="8" t="s">
        <v>1828</v>
      </c>
      <c r="Y174" s="8" t="s">
        <v>55</v>
      </c>
    </row>
    <row r="175" spans="1:25" ht="41.4">
      <c r="A175" s="8" t="s">
        <v>1829</v>
      </c>
      <c r="B175" s="8" t="s">
        <v>2252</v>
      </c>
      <c r="C175" s="8">
        <v>5</v>
      </c>
      <c r="D175" s="8" t="s">
        <v>2259</v>
      </c>
      <c r="E175" s="8" t="s">
        <v>1816</v>
      </c>
      <c r="F175" s="8" t="s">
        <v>2267</v>
      </c>
      <c r="G175" s="8" t="s">
        <v>2268</v>
      </c>
      <c r="H175" s="8" t="s">
        <v>1831</v>
      </c>
      <c r="I175" s="8" t="s">
        <v>1832</v>
      </c>
      <c r="J175" s="8" t="s">
        <v>1833</v>
      </c>
      <c r="K175" s="8" t="s">
        <v>1834</v>
      </c>
      <c r="L175" s="8" t="s">
        <v>2329</v>
      </c>
      <c r="M175" s="8" t="s">
        <v>76</v>
      </c>
      <c r="N175" s="8" t="s">
        <v>1836</v>
      </c>
      <c r="O175" s="8" t="s">
        <v>2330</v>
      </c>
      <c r="P175" s="8" t="s">
        <v>65</v>
      </c>
      <c r="Q175" s="8" t="s">
        <v>1838</v>
      </c>
      <c r="R175" s="8" t="s">
        <v>1839</v>
      </c>
      <c r="S175" s="8" t="s">
        <v>1840</v>
      </c>
      <c r="T175" s="8" t="s">
        <v>39</v>
      </c>
      <c r="U175" s="8" t="s">
        <v>39</v>
      </c>
      <c r="V175" s="8" t="s">
        <v>39</v>
      </c>
      <c r="W175" s="8" t="s">
        <v>39</v>
      </c>
      <c r="X175" s="8" t="s">
        <v>1828</v>
      </c>
      <c r="Y175" s="8" t="s">
        <v>55</v>
      </c>
    </row>
    <row r="176" spans="1:25" ht="41.4">
      <c r="A176" s="8" t="s">
        <v>1841</v>
      </c>
      <c r="B176" s="8" t="s">
        <v>2252</v>
      </c>
      <c r="C176" s="8">
        <v>5</v>
      </c>
      <c r="D176" s="8" t="s">
        <v>2259</v>
      </c>
      <c r="E176" s="8" t="s">
        <v>1816</v>
      </c>
      <c r="F176" s="8" t="s">
        <v>2267</v>
      </c>
      <c r="G176" s="8" t="s">
        <v>2268</v>
      </c>
      <c r="H176" s="8" t="s">
        <v>1842</v>
      </c>
      <c r="I176" s="8" t="s">
        <v>1843</v>
      </c>
      <c r="J176" s="8" t="s">
        <v>1844</v>
      </c>
      <c r="K176" s="8" t="s">
        <v>1845</v>
      </c>
      <c r="L176" s="8" t="s">
        <v>1846</v>
      </c>
      <c r="M176" s="8" t="s">
        <v>76</v>
      </c>
      <c r="N176" s="8" t="s">
        <v>1847</v>
      </c>
      <c r="O176" s="8" t="s">
        <v>1848</v>
      </c>
      <c r="P176" s="8" t="s">
        <v>65</v>
      </c>
      <c r="Q176" s="8" t="s">
        <v>1849</v>
      </c>
      <c r="R176" s="8" t="s">
        <v>1850</v>
      </c>
      <c r="S176" s="8" t="s">
        <v>1851</v>
      </c>
      <c r="T176" s="8" t="s">
        <v>39</v>
      </c>
      <c r="U176" s="8" t="s">
        <v>39</v>
      </c>
      <c r="V176" s="8" t="s">
        <v>39</v>
      </c>
      <c r="W176" s="8" t="s">
        <v>39</v>
      </c>
      <c r="X176" s="8" t="s">
        <v>1828</v>
      </c>
      <c r="Y176" s="8" t="s">
        <v>55</v>
      </c>
    </row>
    <row r="177" spans="1:25" ht="55.2">
      <c r="A177" s="8" t="s">
        <v>1852</v>
      </c>
      <c r="B177" s="8" t="s">
        <v>2252</v>
      </c>
      <c r="C177" s="8">
        <v>5</v>
      </c>
      <c r="D177" s="8" t="s">
        <v>2259</v>
      </c>
      <c r="E177" s="8" t="s">
        <v>1816</v>
      </c>
      <c r="F177" s="8" t="s">
        <v>2260</v>
      </c>
      <c r="G177" s="8" t="s">
        <v>2261</v>
      </c>
      <c r="H177" s="8" t="s">
        <v>1853</v>
      </c>
      <c r="I177" s="8" t="s">
        <v>1854</v>
      </c>
      <c r="J177" s="8" t="s">
        <v>1855</v>
      </c>
      <c r="K177" s="8" t="s">
        <v>1856</v>
      </c>
      <c r="L177" s="8" t="s">
        <v>1857</v>
      </c>
      <c r="M177" s="8" t="s">
        <v>32</v>
      </c>
      <c r="N177" s="8" t="s">
        <v>1858</v>
      </c>
      <c r="O177" s="8" t="s">
        <v>1859</v>
      </c>
      <c r="P177" s="8" t="s">
        <v>191</v>
      </c>
      <c r="Q177" s="8" t="s">
        <v>1860</v>
      </c>
      <c r="R177" s="8" t="s">
        <v>1861</v>
      </c>
      <c r="S177" s="8" t="s">
        <v>1862</v>
      </c>
      <c r="T177" s="8" t="s">
        <v>39</v>
      </c>
      <c r="U177" s="8" t="s">
        <v>39</v>
      </c>
      <c r="V177" s="8" t="s">
        <v>39</v>
      </c>
      <c r="W177" s="8" t="s">
        <v>39</v>
      </c>
      <c r="X177" s="8" t="s">
        <v>1828</v>
      </c>
      <c r="Y177" s="8" t="s">
        <v>42</v>
      </c>
    </row>
    <row r="178" spans="1:25" ht="41.4">
      <c r="A178" s="8" t="s">
        <v>1863</v>
      </c>
      <c r="B178" s="8" t="s">
        <v>2252</v>
      </c>
      <c r="C178" s="8">
        <v>5</v>
      </c>
      <c r="D178" s="8" t="s">
        <v>2259</v>
      </c>
      <c r="E178" s="8" t="s">
        <v>1816</v>
      </c>
      <c r="F178" s="8" t="s">
        <v>2260</v>
      </c>
      <c r="G178" s="8" t="s">
        <v>2261</v>
      </c>
      <c r="H178" s="8" t="s">
        <v>1864</v>
      </c>
      <c r="I178" s="8" t="s">
        <v>1865</v>
      </c>
      <c r="J178" s="8" t="s">
        <v>1866</v>
      </c>
      <c r="K178" s="8" t="s">
        <v>1867</v>
      </c>
      <c r="L178" s="8" t="s">
        <v>1868</v>
      </c>
      <c r="M178" s="8" t="s">
        <v>76</v>
      </c>
      <c r="N178" s="8" t="s">
        <v>1869</v>
      </c>
      <c r="O178" s="8" t="s">
        <v>1870</v>
      </c>
      <c r="P178" s="8" t="s">
        <v>191</v>
      </c>
      <c r="Q178" s="8" t="s">
        <v>1871</v>
      </c>
      <c r="R178" s="8" t="s">
        <v>1872</v>
      </c>
      <c r="S178" s="8" t="s">
        <v>1873</v>
      </c>
      <c r="T178" s="8" t="s">
        <v>39</v>
      </c>
      <c r="U178" s="8" t="s">
        <v>39</v>
      </c>
      <c r="V178" s="8" t="s">
        <v>39</v>
      </c>
      <c r="W178" s="8" t="s">
        <v>39</v>
      </c>
      <c r="X178" s="8" t="s">
        <v>1828</v>
      </c>
      <c r="Y178" s="8" t="s">
        <v>55</v>
      </c>
    </row>
    <row r="179" spans="1:25" ht="41.4">
      <c r="A179" s="8" t="s">
        <v>1874</v>
      </c>
      <c r="B179" s="8" t="s">
        <v>2252</v>
      </c>
      <c r="C179" s="8">
        <v>5</v>
      </c>
      <c r="D179" s="8" t="s">
        <v>2259</v>
      </c>
      <c r="E179" s="8" t="s">
        <v>1816</v>
      </c>
      <c r="F179" s="8" t="s">
        <v>2260</v>
      </c>
      <c r="G179" s="8" t="s">
        <v>2261</v>
      </c>
      <c r="H179" s="8" t="s">
        <v>1875</v>
      </c>
      <c r="I179" s="8" t="s">
        <v>1876</v>
      </c>
      <c r="J179" s="8" t="s">
        <v>1877</v>
      </c>
      <c r="K179" s="8" t="s">
        <v>1878</v>
      </c>
      <c r="L179" s="8" t="s">
        <v>1879</v>
      </c>
      <c r="M179" s="8" t="s">
        <v>62</v>
      </c>
      <c r="N179" s="8" t="s">
        <v>1880</v>
      </c>
      <c r="O179" s="8" t="s">
        <v>1881</v>
      </c>
      <c r="P179" s="8" t="s">
        <v>191</v>
      </c>
      <c r="Q179" s="8" t="s">
        <v>1882</v>
      </c>
      <c r="R179" s="8" t="s">
        <v>1883</v>
      </c>
      <c r="S179" s="8" t="s">
        <v>1884</v>
      </c>
      <c r="T179" s="8" t="s">
        <v>39</v>
      </c>
      <c r="U179" s="8" t="s">
        <v>39</v>
      </c>
      <c r="V179" s="8" t="s">
        <v>39</v>
      </c>
      <c r="W179" s="8" t="s">
        <v>39</v>
      </c>
      <c r="X179" s="8" t="s">
        <v>1828</v>
      </c>
      <c r="Y179" s="8" t="s">
        <v>55</v>
      </c>
    </row>
    <row r="180" spans="1:25" ht="41.4">
      <c r="A180" s="8" t="s">
        <v>1885</v>
      </c>
      <c r="B180" s="8" t="s">
        <v>2252</v>
      </c>
      <c r="C180" s="8">
        <v>5</v>
      </c>
      <c r="D180" s="8" t="s">
        <v>2259</v>
      </c>
      <c r="E180" s="8" t="s">
        <v>1816</v>
      </c>
      <c r="F180" s="8" t="s">
        <v>2260</v>
      </c>
      <c r="G180" s="8" t="s">
        <v>2261</v>
      </c>
      <c r="H180" s="8" t="s">
        <v>1887</v>
      </c>
      <c r="I180" s="8" t="s">
        <v>1888</v>
      </c>
      <c r="J180" s="8" t="s">
        <v>1889</v>
      </c>
      <c r="K180" s="8" t="s">
        <v>1890</v>
      </c>
      <c r="L180" s="8" t="s">
        <v>1891</v>
      </c>
      <c r="M180" s="8" t="s">
        <v>76</v>
      </c>
      <c r="N180" s="8" t="s">
        <v>1892</v>
      </c>
      <c r="O180" s="8" t="s">
        <v>1893</v>
      </c>
      <c r="P180" s="8" t="s">
        <v>191</v>
      </c>
      <c r="Q180" s="8" t="s">
        <v>1894</v>
      </c>
      <c r="R180" s="8" t="s">
        <v>1895</v>
      </c>
      <c r="S180" s="8" t="s">
        <v>1896</v>
      </c>
      <c r="T180" s="8" t="s">
        <v>39</v>
      </c>
      <c r="U180" s="8" t="s">
        <v>39</v>
      </c>
      <c r="V180" s="8" t="s">
        <v>39</v>
      </c>
      <c r="W180" s="8" t="s">
        <v>39</v>
      </c>
      <c r="X180" s="8" t="s">
        <v>1828</v>
      </c>
      <c r="Y180" s="8" t="s">
        <v>42</v>
      </c>
    </row>
    <row r="181" spans="1:25" ht="55.2">
      <c r="A181" s="8" t="s">
        <v>1897</v>
      </c>
      <c r="B181" s="8" t="s">
        <v>2252</v>
      </c>
      <c r="C181" s="8">
        <v>5</v>
      </c>
      <c r="D181" s="8" t="s">
        <v>2259</v>
      </c>
      <c r="E181" s="8" t="s">
        <v>1816</v>
      </c>
      <c r="F181" s="8" t="s">
        <v>2260</v>
      </c>
      <c r="G181" s="8" t="s">
        <v>2261</v>
      </c>
      <c r="H181" s="8" t="s">
        <v>1898</v>
      </c>
      <c r="I181" s="8" t="s">
        <v>1899</v>
      </c>
      <c r="J181" s="8" t="s">
        <v>1900</v>
      </c>
      <c r="K181" s="8" t="s">
        <v>1901</v>
      </c>
      <c r="L181" s="8" t="s">
        <v>1902</v>
      </c>
      <c r="M181" s="8" t="s">
        <v>62</v>
      </c>
      <c r="N181" s="8" t="s">
        <v>1903</v>
      </c>
      <c r="O181" s="8" t="s">
        <v>1904</v>
      </c>
      <c r="P181" s="8" t="s">
        <v>191</v>
      </c>
      <c r="Q181" s="8" t="s">
        <v>1222</v>
      </c>
      <c r="R181" s="8" t="s">
        <v>1905</v>
      </c>
      <c r="S181" s="8" t="s">
        <v>1906</v>
      </c>
      <c r="T181" s="8" t="s">
        <v>39</v>
      </c>
      <c r="U181" s="8" t="s">
        <v>39</v>
      </c>
      <c r="V181" s="8" t="s">
        <v>39</v>
      </c>
      <c r="W181" s="8" t="s">
        <v>39</v>
      </c>
      <c r="X181" s="8" t="s">
        <v>1828</v>
      </c>
      <c r="Y181" s="8" t="s">
        <v>55</v>
      </c>
    </row>
    <row r="182" spans="1:25" ht="69">
      <c r="A182" s="8" t="s">
        <v>1907</v>
      </c>
      <c r="B182" s="8" t="s">
        <v>2252</v>
      </c>
      <c r="C182" s="8">
        <v>5</v>
      </c>
      <c r="D182" s="8" t="s">
        <v>2259</v>
      </c>
      <c r="E182" s="8" t="s">
        <v>1816</v>
      </c>
      <c r="F182" s="8" t="s">
        <v>2260</v>
      </c>
      <c r="G182" s="8" t="s">
        <v>2261</v>
      </c>
      <c r="H182" s="8" t="s">
        <v>1908</v>
      </c>
      <c r="I182" s="8" t="s">
        <v>1909</v>
      </c>
      <c r="J182" s="8" t="s">
        <v>1910</v>
      </c>
      <c r="K182" s="8" t="s">
        <v>758</v>
      </c>
      <c r="L182" s="8" t="s">
        <v>1911</v>
      </c>
      <c r="M182" s="8" t="s">
        <v>76</v>
      </c>
      <c r="N182" s="8" t="s">
        <v>1912</v>
      </c>
      <c r="O182" s="8" t="s">
        <v>1913</v>
      </c>
      <c r="P182" s="8" t="s">
        <v>191</v>
      </c>
      <c r="Q182" s="8" t="s">
        <v>1914</v>
      </c>
      <c r="R182" s="8" t="s">
        <v>1915</v>
      </c>
      <c r="S182" s="8" t="s">
        <v>1916</v>
      </c>
      <c r="T182" s="8" t="s">
        <v>39</v>
      </c>
      <c r="U182" s="8" t="s">
        <v>39</v>
      </c>
      <c r="V182" s="8" t="s">
        <v>39</v>
      </c>
      <c r="W182" s="8" t="s">
        <v>39</v>
      </c>
      <c r="X182" s="8" t="s">
        <v>1828</v>
      </c>
      <c r="Y182" s="8" t="s">
        <v>55</v>
      </c>
    </row>
    <row r="183" spans="1:25" ht="41.4">
      <c r="A183" s="8" t="s">
        <v>1917</v>
      </c>
      <c r="B183" s="8" t="s">
        <v>2252</v>
      </c>
      <c r="C183" s="8">
        <v>5</v>
      </c>
      <c r="D183" s="8" t="s">
        <v>2259</v>
      </c>
      <c r="E183" s="8" t="s">
        <v>1816</v>
      </c>
      <c r="F183" s="8" t="s">
        <v>2331</v>
      </c>
      <c r="G183" s="8" t="s">
        <v>2332</v>
      </c>
      <c r="H183" s="8" t="s">
        <v>1919</v>
      </c>
      <c r="I183" s="8" t="s">
        <v>1920</v>
      </c>
      <c r="J183" s="8" t="s">
        <v>1921</v>
      </c>
      <c r="K183" s="8" t="s">
        <v>1922</v>
      </c>
      <c r="L183" s="8" t="s">
        <v>1923</v>
      </c>
      <c r="M183" s="8" t="s">
        <v>76</v>
      </c>
      <c r="N183" s="8" t="s">
        <v>1924</v>
      </c>
      <c r="O183" s="8" t="s">
        <v>2333</v>
      </c>
      <c r="P183" s="8" t="s">
        <v>191</v>
      </c>
      <c r="Q183" s="8" t="s">
        <v>1926</v>
      </c>
      <c r="R183" s="8" t="s">
        <v>1927</v>
      </c>
      <c r="S183" s="8" t="s">
        <v>1928</v>
      </c>
      <c r="T183" s="8" t="s">
        <v>39</v>
      </c>
      <c r="U183" s="8" t="s">
        <v>39</v>
      </c>
      <c r="V183" s="8" t="s">
        <v>39</v>
      </c>
      <c r="W183" s="8" t="s">
        <v>39</v>
      </c>
      <c r="X183" s="8" t="s">
        <v>1828</v>
      </c>
      <c r="Y183" s="8" t="s">
        <v>42</v>
      </c>
    </row>
    <row r="184" spans="1:25" ht="55.2">
      <c r="A184" s="8" t="s">
        <v>1929</v>
      </c>
      <c r="B184" s="8" t="s">
        <v>2252</v>
      </c>
      <c r="C184" s="8">
        <v>5</v>
      </c>
      <c r="D184" s="8" t="s">
        <v>2259</v>
      </c>
      <c r="E184" s="8" t="s">
        <v>1816</v>
      </c>
      <c r="F184" s="8" t="s">
        <v>2331</v>
      </c>
      <c r="G184" s="8" t="s">
        <v>2332</v>
      </c>
      <c r="H184" s="8" t="s">
        <v>1930</v>
      </c>
      <c r="I184" s="8" t="s">
        <v>1931</v>
      </c>
      <c r="J184" s="8" t="s">
        <v>1932</v>
      </c>
      <c r="K184" s="8" t="s">
        <v>1933</v>
      </c>
      <c r="L184" s="8" t="s">
        <v>1934</v>
      </c>
      <c r="M184" s="8" t="s">
        <v>62</v>
      </c>
      <c r="N184" s="8" t="s">
        <v>1935</v>
      </c>
      <c r="O184" s="8" t="s">
        <v>1936</v>
      </c>
      <c r="P184" s="8" t="s">
        <v>65</v>
      </c>
      <c r="Q184" s="8" t="s">
        <v>1937</v>
      </c>
      <c r="R184" s="8" t="s">
        <v>1938</v>
      </c>
      <c r="S184" s="8" t="s">
        <v>1939</v>
      </c>
      <c r="T184" s="8" t="s">
        <v>39</v>
      </c>
      <c r="U184" s="8" t="s">
        <v>39</v>
      </c>
      <c r="V184" s="8" t="s">
        <v>39</v>
      </c>
      <c r="W184" s="8" t="s">
        <v>39</v>
      </c>
      <c r="X184" s="8" t="s">
        <v>1828</v>
      </c>
      <c r="Y184" s="8" t="s">
        <v>55</v>
      </c>
    </row>
    <row r="185" spans="1:25" ht="55.2">
      <c r="A185" s="8" t="s">
        <v>1940</v>
      </c>
      <c r="B185" s="8" t="s">
        <v>2252</v>
      </c>
      <c r="C185" s="8">
        <v>5</v>
      </c>
      <c r="D185" s="8" t="s">
        <v>2259</v>
      </c>
      <c r="E185" s="8" t="s">
        <v>1816</v>
      </c>
      <c r="F185" s="8" t="s">
        <v>2331</v>
      </c>
      <c r="G185" s="8" t="s">
        <v>2332</v>
      </c>
      <c r="H185" s="8" t="s">
        <v>1941</v>
      </c>
      <c r="I185" s="8" t="s">
        <v>1942</v>
      </c>
      <c r="J185" s="8" t="s">
        <v>1943</v>
      </c>
      <c r="K185" s="8" t="s">
        <v>1944</v>
      </c>
      <c r="L185" s="8" t="s">
        <v>1945</v>
      </c>
      <c r="M185" s="8" t="s">
        <v>62</v>
      </c>
      <c r="N185" s="8" t="s">
        <v>1946</v>
      </c>
      <c r="O185" s="8" t="s">
        <v>1947</v>
      </c>
      <c r="P185" s="8" t="s">
        <v>191</v>
      </c>
      <c r="Q185" s="8" t="s">
        <v>1948</v>
      </c>
      <c r="R185" s="8" t="s">
        <v>1949</v>
      </c>
      <c r="S185" s="8" t="s">
        <v>1950</v>
      </c>
      <c r="T185" s="8" t="s">
        <v>39</v>
      </c>
      <c r="U185" s="8" t="s">
        <v>39</v>
      </c>
      <c r="V185" s="8" t="s">
        <v>39</v>
      </c>
      <c r="W185" s="8" t="s">
        <v>39</v>
      </c>
      <c r="X185" s="8" t="s">
        <v>1828</v>
      </c>
      <c r="Y185" s="8" t="s">
        <v>55</v>
      </c>
    </row>
    <row r="186" spans="1:25" ht="41.4">
      <c r="A186" s="8" t="s">
        <v>1951</v>
      </c>
      <c r="B186" s="8" t="s">
        <v>2252</v>
      </c>
      <c r="C186" s="8">
        <v>5</v>
      </c>
      <c r="D186" s="8" t="s">
        <v>2259</v>
      </c>
      <c r="E186" s="8" t="s">
        <v>1816</v>
      </c>
      <c r="F186" s="8" t="s">
        <v>2331</v>
      </c>
      <c r="G186" s="8" t="s">
        <v>2332</v>
      </c>
      <c r="H186" s="8" t="s">
        <v>1952</v>
      </c>
      <c r="I186" s="8" t="s">
        <v>1953</v>
      </c>
      <c r="J186" s="8" t="s">
        <v>1954</v>
      </c>
      <c r="K186" s="8" t="s">
        <v>1955</v>
      </c>
      <c r="L186" s="8" t="s">
        <v>1956</v>
      </c>
      <c r="M186" s="8" t="s">
        <v>76</v>
      </c>
      <c r="N186" s="8" t="s">
        <v>1957</v>
      </c>
      <c r="O186" s="8" t="s">
        <v>1958</v>
      </c>
      <c r="P186" s="8" t="s">
        <v>65</v>
      </c>
      <c r="Q186" s="8" t="s">
        <v>1959</v>
      </c>
      <c r="R186" s="8" t="s">
        <v>1960</v>
      </c>
      <c r="S186" s="8" t="s">
        <v>1961</v>
      </c>
      <c r="T186" s="8" t="s">
        <v>39</v>
      </c>
      <c r="U186" s="8" t="s">
        <v>39</v>
      </c>
      <c r="V186" s="8" t="s">
        <v>39</v>
      </c>
      <c r="W186" s="8" t="s">
        <v>39</v>
      </c>
      <c r="X186" s="8" t="s">
        <v>1828</v>
      </c>
      <c r="Y186" s="8" t="s">
        <v>42</v>
      </c>
    </row>
    <row r="187" spans="1:25" ht="41.4">
      <c r="A187" s="8" t="s">
        <v>1962</v>
      </c>
      <c r="B187" s="8" t="s">
        <v>2252</v>
      </c>
      <c r="C187" s="8">
        <v>5</v>
      </c>
      <c r="D187" s="8" t="s">
        <v>2259</v>
      </c>
      <c r="E187" s="8" t="s">
        <v>1816</v>
      </c>
      <c r="F187" s="8" t="s">
        <v>2312</v>
      </c>
      <c r="G187" s="8" t="s">
        <v>2313</v>
      </c>
      <c r="H187" s="8" t="s">
        <v>1963</v>
      </c>
      <c r="I187" s="8" t="s">
        <v>1845</v>
      </c>
      <c r="J187" s="8" t="s">
        <v>1843</v>
      </c>
      <c r="K187" s="8" t="s">
        <v>1964</v>
      </c>
      <c r="L187" s="8" t="s">
        <v>1846</v>
      </c>
      <c r="M187" s="8" t="s">
        <v>32</v>
      </c>
      <c r="N187" s="8" t="s">
        <v>1965</v>
      </c>
      <c r="O187" s="8" t="s">
        <v>1966</v>
      </c>
      <c r="P187" s="8" t="s">
        <v>191</v>
      </c>
      <c r="Q187" s="8" t="s">
        <v>1967</v>
      </c>
      <c r="R187" s="8" t="s">
        <v>1968</v>
      </c>
      <c r="S187" s="8" t="s">
        <v>1969</v>
      </c>
      <c r="T187" s="8" t="s">
        <v>39</v>
      </c>
      <c r="U187" s="8" t="s">
        <v>39</v>
      </c>
      <c r="V187" s="8" t="s">
        <v>39</v>
      </c>
      <c r="W187" s="8" t="s">
        <v>39</v>
      </c>
      <c r="X187" s="8" t="s">
        <v>1828</v>
      </c>
      <c r="Y187" s="8" t="s">
        <v>55</v>
      </c>
    </row>
    <row r="188" spans="1:25" ht="41.4">
      <c r="A188" s="8" t="s">
        <v>1970</v>
      </c>
      <c r="B188" s="8" t="s">
        <v>2252</v>
      </c>
      <c r="C188" s="8">
        <v>5</v>
      </c>
      <c r="D188" s="8" t="s">
        <v>2259</v>
      </c>
      <c r="E188" s="8" t="s">
        <v>1816</v>
      </c>
      <c r="F188" s="8" t="s">
        <v>2312</v>
      </c>
      <c r="G188" s="8" t="s">
        <v>2313</v>
      </c>
      <c r="H188" s="8" t="s">
        <v>1971</v>
      </c>
      <c r="I188" s="8" t="s">
        <v>1972</v>
      </c>
      <c r="J188" s="8" t="s">
        <v>1973</v>
      </c>
      <c r="K188" s="8" t="s">
        <v>1974</v>
      </c>
      <c r="L188" s="8" t="s">
        <v>1975</v>
      </c>
      <c r="M188" s="8" t="s">
        <v>32</v>
      </c>
      <c r="N188" s="8" t="s">
        <v>1976</v>
      </c>
      <c r="O188" s="8" t="s">
        <v>1977</v>
      </c>
      <c r="P188" s="8" t="s">
        <v>65</v>
      </c>
      <c r="Q188" s="8" t="s">
        <v>1978</v>
      </c>
      <c r="R188" s="8" t="s">
        <v>1979</v>
      </c>
      <c r="S188" s="8" t="s">
        <v>1980</v>
      </c>
      <c r="T188" s="8" t="s">
        <v>39</v>
      </c>
      <c r="U188" s="8" t="s">
        <v>39</v>
      </c>
      <c r="V188" s="8" t="s">
        <v>39</v>
      </c>
      <c r="W188" s="8" t="s">
        <v>39</v>
      </c>
      <c r="X188" s="8" t="s">
        <v>1828</v>
      </c>
      <c r="Y188" s="8" t="s">
        <v>55</v>
      </c>
    </row>
    <row r="189" spans="1:25" ht="55.2">
      <c r="A189" s="8" t="s">
        <v>1981</v>
      </c>
      <c r="B189" s="8" t="s">
        <v>2252</v>
      </c>
      <c r="C189" s="8">
        <v>5</v>
      </c>
      <c r="D189" s="8" t="s">
        <v>2259</v>
      </c>
      <c r="E189" s="8" t="s">
        <v>1816</v>
      </c>
      <c r="F189" s="8" t="s">
        <v>2312</v>
      </c>
      <c r="G189" s="8" t="s">
        <v>2313</v>
      </c>
      <c r="H189" s="8" t="s">
        <v>1982</v>
      </c>
      <c r="I189" s="8" t="s">
        <v>1983</v>
      </c>
      <c r="J189" s="8" t="s">
        <v>1984</v>
      </c>
      <c r="K189" s="8" t="s">
        <v>1985</v>
      </c>
      <c r="L189" s="8" t="s">
        <v>1986</v>
      </c>
      <c r="M189" s="8" t="s">
        <v>88</v>
      </c>
      <c r="N189" s="8" t="s">
        <v>1987</v>
      </c>
      <c r="O189" s="8" t="s">
        <v>1988</v>
      </c>
      <c r="P189" s="8" t="s">
        <v>65</v>
      </c>
      <c r="Q189" s="8" t="s">
        <v>1989</v>
      </c>
      <c r="R189" s="8" t="s">
        <v>1990</v>
      </c>
      <c r="S189" s="8" t="s">
        <v>1991</v>
      </c>
      <c r="T189" s="8" t="s">
        <v>39</v>
      </c>
      <c r="U189" s="8" t="s">
        <v>39</v>
      </c>
      <c r="V189" s="8" t="s">
        <v>39</v>
      </c>
      <c r="W189" s="8" t="s">
        <v>39</v>
      </c>
      <c r="X189" s="8" t="s">
        <v>1828</v>
      </c>
      <c r="Y189" s="8" t="s">
        <v>42</v>
      </c>
    </row>
    <row r="190" spans="1:25" ht="55.2">
      <c r="A190" s="8" t="s">
        <v>1992</v>
      </c>
      <c r="B190" s="8" t="s">
        <v>2252</v>
      </c>
      <c r="C190" s="8">
        <v>5</v>
      </c>
      <c r="D190" s="8" t="s">
        <v>2259</v>
      </c>
      <c r="E190" s="8" t="s">
        <v>1816</v>
      </c>
      <c r="F190" s="8" t="s">
        <v>2312</v>
      </c>
      <c r="G190" s="8" t="s">
        <v>2313</v>
      </c>
      <c r="H190" s="8" t="s">
        <v>1993</v>
      </c>
      <c r="I190" s="8" t="s">
        <v>1994</v>
      </c>
      <c r="J190" s="8" t="s">
        <v>1995</v>
      </c>
      <c r="K190" s="8" t="s">
        <v>1996</v>
      </c>
      <c r="L190" s="8" t="s">
        <v>1997</v>
      </c>
      <c r="M190" s="8" t="s">
        <v>32</v>
      </c>
      <c r="N190" s="8" t="s">
        <v>1998</v>
      </c>
      <c r="O190" s="8" t="s">
        <v>1999</v>
      </c>
      <c r="P190" s="8" t="s">
        <v>65</v>
      </c>
      <c r="Q190" s="8" t="s">
        <v>2000</v>
      </c>
      <c r="R190" s="8" t="s">
        <v>2001</v>
      </c>
      <c r="S190" s="8" t="s">
        <v>2002</v>
      </c>
      <c r="T190" s="8" t="s">
        <v>39</v>
      </c>
      <c r="U190" s="8" t="s">
        <v>39</v>
      </c>
      <c r="V190" s="8" t="s">
        <v>39</v>
      </c>
      <c r="W190" s="8" t="s">
        <v>39</v>
      </c>
      <c r="X190" s="8" t="s">
        <v>1828</v>
      </c>
      <c r="Y190" s="8" t="s">
        <v>42</v>
      </c>
    </row>
    <row r="191" spans="1:25" ht="41.4">
      <c r="A191" s="8" t="s">
        <v>2003</v>
      </c>
      <c r="B191" s="8" t="s">
        <v>2252</v>
      </c>
      <c r="C191" s="8">
        <v>5</v>
      </c>
      <c r="D191" s="8" t="s">
        <v>2259</v>
      </c>
      <c r="E191" s="8" t="s">
        <v>1816</v>
      </c>
      <c r="F191" s="8" t="s">
        <v>2312</v>
      </c>
      <c r="G191" s="8" t="s">
        <v>2313</v>
      </c>
      <c r="H191" s="8" t="s">
        <v>2004</v>
      </c>
      <c r="I191" s="8" t="s">
        <v>2005</v>
      </c>
      <c r="J191" s="8" t="s">
        <v>2006</v>
      </c>
      <c r="K191" s="8" t="s">
        <v>2007</v>
      </c>
      <c r="L191" s="8" t="s">
        <v>595</v>
      </c>
      <c r="M191" s="8" t="s">
        <v>32</v>
      </c>
      <c r="N191" s="8" t="s">
        <v>2008</v>
      </c>
      <c r="O191" s="8" t="s">
        <v>2009</v>
      </c>
      <c r="P191" s="8" t="s">
        <v>65</v>
      </c>
      <c r="Q191" s="8" t="s">
        <v>2010</v>
      </c>
      <c r="R191" s="8" t="s">
        <v>2011</v>
      </c>
      <c r="S191" s="8" t="s">
        <v>2012</v>
      </c>
      <c r="T191" s="8" t="s">
        <v>39</v>
      </c>
      <c r="U191" s="8" t="s">
        <v>39</v>
      </c>
      <c r="V191" s="8" t="s">
        <v>39</v>
      </c>
      <c r="W191" s="8" t="s">
        <v>39</v>
      </c>
      <c r="X191" s="8" t="s">
        <v>1828</v>
      </c>
      <c r="Y191" s="8" t="s">
        <v>55</v>
      </c>
    </row>
    <row r="192" spans="1:25" ht="41.4">
      <c r="A192" s="8" t="s">
        <v>2013</v>
      </c>
      <c r="B192" s="8" t="s">
        <v>2252</v>
      </c>
      <c r="C192" s="8">
        <v>5</v>
      </c>
      <c r="D192" s="8" t="s">
        <v>2259</v>
      </c>
      <c r="E192" s="8" t="s">
        <v>1816</v>
      </c>
      <c r="F192" s="8" t="s">
        <v>2312</v>
      </c>
      <c r="G192" s="8" t="s">
        <v>2313</v>
      </c>
      <c r="H192" s="8" t="s">
        <v>2014</v>
      </c>
      <c r="I192" s="8" t="s">
        <v>2015</v>
      </c>
      <c r="J192" s="8" t="s">
        <v>2016</v>
      </c>
      <c r="K192" s="8" t="s">
        <v>2017</v>
      </c>
      <c r="L192" s="8" t="s">
        <v>2018</v>
      </c>
      <c r="M192" s="8" t="s">
        <v>76</v>
      </c>
      <c r="N192" s="8" t="s">
        <v>2019</v>
      </c>
      <c r="O192" s="8" t="s">
        <v>2020</v>
      </c>
      <c r="P192" s="8" t="s">
        <v>65</v>
      </c>
      <c r="Q192" s="8" t="s">
        <v>2021</v>
      </c>
      <c r="R192" s="8" t="s">
        <v>2022</v>
      </c>
      <c r="S192" s="8" t="s">
        <v>2023</v>
      </c>
      <c r="T192" s="8" t="s">
        <v>39</v>
      </c>
      <c r="U192" s="8" t="s">
        <v>39</v>
      </c>
      <c r="V192" s="8" t="s">
        <v>39</v>
      </c>
      <c r="W192" s="8" t="s">
        <v>39</v>
      </c>
      <c r="X192" s="8" t="s">
        <v>1828</v>
      </c>
      <c r="Y192" s="8" t="s">
        <v>42</v>
      </c>
    </row>
    <row r="193" spans="1:25" ht="55.2">
      <c r="A193" s="8" t="s">
        <v>2024</v>
      </c>
      <c r="B193" s="8" t="s">
        <v>2252</v>
      </c>
      <c r="C193" s="8">
        <v>5</v>
      </c>
      <c r="D193" s="8" t="s">
        <v>2259</v>
      </c>
      <c r="E193" s="8" t="s">
        <v>1816</v>
      </c>
      <c r="F193" s="8" t="s">
        <v>2312</v>
      </c>
      <c r="G193" s="8" t="s">
        <v>2313</v>
      </c>
      <c r="H193" s="8" t="s">
        <v>2025</v>
      </c>
      <c r="I193" s="8" t="s">
        <v>2026</v>
      </c>
      <c r="J193" s="8" t="s">
        <v>2027</v>
      </c>
      <c r="K193" s="8" t="s">
        <v>2028</v>
      </c>
      <c r="L193" s="8" t="s">
        <v>2029</v>
      </c>
      <c r="M193" s="8" t="s">
        <v>32</v>
      </c>
      <c r="N193" s="8" t="s">
        <v>2030</v>
      </c>
      <c r="O193" s="8" t="s">
        <v>2031</v>
      </c>
      <c r="P193" s="8" t="s">
        <v>65</v>
      </c>
      <c r="Q193" s="8" t="s">
        <v>2032</v>
      </c>
      <c r="R193" s="8" t="s">
        <v>2033</v>
      </c>
      <c r="S193" s="8" t="s">
        <v>2034</v>
      </c>
      <c r="T193" s="8" t="s">
        <v>39</v>
      </c>
      <c r="U193" s="8" t="s">
        <v>39</v>
      </c>
      <c r="V193" s="8" t="s">
        <v>39</v>
      </c>
      <c r="W193" s="8" t="s">
        <v>39</v>
      </c>
      <c r="X193" s="8" t="s">
        <v>1828</v>
      </c>
      <c r="Y193" s="8" t="s">
        <v>42</v>
      </c>
    </row>
    <row r="194" spans="1:25" ht="55.2">
      <c r="A194" s="8" t="s">
        <v>2035</v>
      </c>
      <c r="B194" s="8" t="s">
        <v>2252</v>
      </c>
      <c r="C194" s="8">
        <v>5</v>
      </c>
      <c r="D194" s="8" t="s">
        <v>2259</v>
      </c>
      <c r="E194" s="8" t="s">
        <v>1816</v>
      </c>
      <c r="F194" s="8" t="s">
        <v>2312</v>
      </c>
      <c r="G194" s="8" t="s">
        <v>2313</v>
      </c>
      <c r="H194" s="8" t="s">
        <v>2036</v>
      </c>
      <c r="I194" s="8" t="s">
        <v>2037</v>
      </c>
      <c r="J194" s="8" t="s">
        <v>2038</v>
      </c>
      <c r="K194" s="8" t="s">
        <v>2039</v>
      </c>
      <c r="L194" s="8" t="s">
        <v>2040</v>
      </c>
      <c r="M194" s="8" t="s">
        <v>76</v>
      </c>
      <c r="N194" s="8" t="s">
        <v>2041</v>
      </c>
      <c r="O194" s="8" t="s">
        <v>2334</v>
      </c>
      <c r="P194" s="8" t="s">
        <v>65</v>
      </c>
      <c r="Q194" s="8" t="s">
        <v>2043</v>
      </c>
      <c r="R194" s="8" t="s">
        <v>2044</v>
      </c>
      <c r="S194" s="8" t="s">
        <v>2045</v>
      </c>
      <c r="T194" s="8" t="s">
        <v>39</v>
      </c>
      <c r="U194" s="8" t="s">
        <v>39</v>
      </c>
      <c r="V194" s="8" t="s">
        <v>39</v>
      </c>
      <c r="W194" s="8" t="s">
        <v>39</v>
      </c>
      <c r="X194" s="8" t="s">
        <v>1828</v>
      </c>
      <c r="Y194" s="8" t="s">
        <v>55</v>
      </c>
    </row>
    <row r="195" spans="1:25" ht="41.4">
      <c r="A195" s="8" t="s">
        <v>2046</v>
      </c>
      <c r="B195" s="8" t="s">
        <v>2252</v>
      </c>
      <c r="C195" s="8">
        <v>5</v>
      </c>
      <c r="D195" s="8" t="s">
        <v>2259</v>
      </c>
      <c r="E195" s="8" t="s">
        <v>1816</v>
      </c>
      <c r="F195" s="8" t="s">
        <v>2267</v>
      </c>
      <c r="G195" s="8" t="s">
        <v>2268</v>
      </c>
      <c r="H195" s="8" t="s">
        <v>2047</v>
      </c>
      <c r="I195" s="8" t="s">
        <v>2048</v>
      </c>
      <c r="J195" s="8" t="s">
        <v>2049</v>
      </c>
      <c r="K195" s="8" t="s">
        <v>2050</v>
      </c>
      <c r="L195" s="8" t="s">
        <v>2051</v>
      </c>
      <c r="M195" s="8" t="s">
        <v>76</v>
      </c>
      <c r="N195" s="8" t="s">
        <v>2052</v>
      </c>
      <c r="O195" s="8" t="s">
        <v>2053</v>
      </c>
      <c r="P195" s="8" t="s">
        <v>65</v>
      </c>
      <c r="Q195" s="8" t="s">
        <v>2054</v>
      </c>
      <c r="R195" s="8" t="s">
        <v>2055</v>
      </c>
      <c r="S195" s="8" t="s">
        <v>2056</v>
      </c>
      <c r="T195" s="8" t="s">
        <v>39</v>
      </c>
      <c r="U195" s="8" t="s">
        <v>39</v>
      </c>
      <c r="V195" s="8" t="s">
        <v>39</v>
      </c>
      <c r="W195" s="8" t="s">
        <v>39</v>
      </c>
      <c r="X195" s="8" t="s">
        <v>1828</v>
      </c>
      <c r="Y195" s="8" t="s">
        <v>55</v>
      </c>
    </row>
    <row r="196" spans="1:25" ht="27.6">
      <c r="A196" s="8" t="s">
        <v>2057</v>
      </c>
      <c r="B196" s="8" t="s">
        <v>2252</v>
      </c>
      <c r="C196" s="8">
        <v>5</v>
      </c>
      <c r="D196" s="8" t="s">
        <v>2259</v>
      </c>
      <c r="E196" s="8" t="s">
        <v>1816</v>
      </c>
      <c r="F196" s="8" t="s">
        <v>2267</v>
      </c>
      <c r="G196" s="8" t="s">
        <v>2268</v>
      </c>
      <c r="H196" s="8" t="s">
        <v>2058</v>
      </c>
      <c r="I196" s="8" t="s">
        <v>2059</v>
      </c>
      <c r="J196" s="8" t="s">
        <v>2060</v>
      </c>
      <c r="K196" s="8" t="s">
        <v>2061</v>
      </c>
      <c r="L196" s="8" t="s">
        <v>2062</v>
      </c>
      <c r="M196" s="8" t="s">
        <v>62</v>
      </c>
      <c r="N196" s="8" t="s">
        <v>2063</v>
      </c>
      <c r="O196" s="8" t="s">
        <v>2064</v>
      </c>
      <c r="P196" s="8" t="s">
        <v>65</v>
      </c>
      <c r="Q196" s="8" t="s">
        <v>2065</v>
      </c>
      <c r="R196" s="8" t="s">
        <v>2066</v>
      </c>
      <c r="S196" s="8" t="s">
        <v>2067</v>
      </c>
      <c r="T196" s="8" t="s">
        <v>39</v>
      </c>
      <c r="U196" s="8" t="s">
        <v>39</v>
      </c>
      <c r="V196" s="8" t="s">
        <v>39</v>
      </c>
      <c r="W196" s="8" t="s">
        <v>39</v>
      </c>
      <c r="X196" s="8" t="s">
        <v>1828</v>
      </c>
      <c r="Y196" s="8" t="s">
        <v>55</v>
      </c>
    </row>
    <row r="197" spans="1:25" ht="55.2">
      <c r="A197" s="8" t="s">
        <v>2068</v>
      </c>
      <c r="B197" s="8" t="s">
        <v>2252</v>
      </c>
      <c r="C197" s="8">
        <v>5</v>
      </c>
      <c r="D197" s="8" t="s">
        <v>2259</v>
      </c>
      <c r="E197" s="8" t="s">
        <v>1816</v>
      </c>
      <c r="F197" s="8" t="s">
        <v>2267</v>
      </c>
      <c r="G197" s="8" t="s">
        <v>2268</v>
      </c>
      <c r="H197" s="8" t="s">
        <v>2069</v>
      </c>
      <c r="I197" s="8" t="s">
        <v>2070</v>
      </c>
      <c r="J197" s="8" t="s">
        <v>2071</v>
      </c>
      <c r="K197" s="8" t="s">
        <v>2072</v>
      </c>
      <c r="L197" s="8" t="s">
        <v>2073</v>
      </c>
      <c r="M197" s="8" t="s">
        <v>62</v>
      </c>
      <c r="N197" s="8" t="s">
        <v>2074</v>
      </c>
      <c r="O197" s="8" t="s">
        <v>2075</v>
      </c>
      <c r="P197" s="8" t="s">
        <v>65</v>
      </c>
      <c r="Q197" s="8" t="s">
        <v>2076</v>
      </c>
      <c r="R197" s="8" t="s">
        <v>2077</v>
      </c>
      <c r="S197" s="8" t="s">
        <v>2078</v>
      </c>
      <c r="T197" s="8" t="s">
        <v>39</v>
      </c>
      <c r="U197" s="8" t="s">
        <v>39</v>
      </c>
      <c r="V197" s="8" t="s">
        <v>39</v>
      </c>
      <c r="W197" s="8" t="s">
        <v>39</v>
      </c>
      <c r="X197" s="8" t="s">
        <v>1828</v>
      </c>
      <c r="Y197" s="8" t="s">
        <v>42</v>
      </c>
    </row>
    <row r="198" spans="1:25" ht="41.4">
      <c r="A198" s="8" t="s">
        <v>2079</v>
      </c>
      <c r="B198" s="8" t="s">
        <v>2252</v>
      </c>
      <c r="C198" s="8">
        <v>5</v>
      </c>
      <c r="D198" s="8" t="s">
        <v>2259</v>
      </c>
      <c r="E198" s="8" t="s">
        <v>1816</v>
      </c>
      <c r="F198" s="8" t="s">
        <v>2267</v>
      </c>
      <c r="G198" s="8" t="s">
        <v>2268</v>
      </c>
      <c r="H198" s="8" t="s">
        <v>2080</v>
      </c>
      <c r="I198" s="8" t="s">
        <v>2081</v>
      </c>
      <c r="J198" s="8" t="s">
        <v>2082</v>
      </c>
      <c r="K198" s="8" t="s">
        <v>2083</v>
      </c>
      <c r="L198" s="8" t="s">
        <v>2084</v>
      </c>
      <c r="M198" s="8" t="s">
        <v>76</v>
      </c>
      <c r="N198" s="8" t="s">
        <v>2085</v>
      </c>
      <c r="O198" s="8" t="s">
        <v>2086</v>
      </c>
      <c r="P198" s="8" t="s">
        <v>65</v>
      </c>
      <c r="Q198" s="8" t="s">
        <v>2087</v>
      </c>
      <c r="R198" s="8" t="s">
        <v>2088</v>
      </c>
      <c r="S198" s="8" t="s">
        <v>2089</v>
      </c>
      <c r="T198" s="8" t="s">
        <v>39</v>
      </c>
      <c r="U198" s="8" t="s">
        <v>39</v>
      </c>
      <c r="V198" s="8" t="s">
        <v>39</v>
      </c>
      <c r="W198" s="8" t="s">
        <v>39</v>
      </c>
      <c r="X198" s="8" t="s">
        <v>1828</v>
      </c>
      <c r="Y198" s="8" t="s">
        <v>55</v>
      </c>
    </row>
    <row r="199" spans="1:25" ht="27.6">
      <c r="A199" s="8" t="s">
        <v>2090</v>
      </c>
      <c r="B199" s="8" t="s">
        <v>2252</v>
      </c>
      <c r="C199" s="8">
        <v>5</v>
      </c>
      <c r="D199" s="8" t="s">
        <v>2259</v>
      </c>
      <c r="E199" s="8" t="s">
        <v>1816</v>
      </c>
      <c r="F199" s="8" t="s">
        <v>2267</v>
      </c>
      <c r="G199" s="8" t="s">
        <v>2268</v>
      </c>
      <c r="H199" s="8" t="s">
        <v>2091</v>
      </c>
      <c r="I199" s="8" t="s">
        <v>2092</v>
      </c>
      <c r="J199" s="8" t="s">
        <v>476</v>
      </c>
      <c r="K199" s="8" t="s">
        <v>2093</v>
      </c>
      <c r="L199" s="8" t="s">
        <v>2094</v>
      </c>
      <c r="M199" s="8" t="s">
        <v>32</v>
      </c>
      <c r="N199" s="8" t="s">
        <v>2095</v>
      </c>
      <c r="O199" s="8" t="s">
        <v>2096</v>
      </c>
      <c r="P199" s="8" t="s">
        <v>65</v>
      </c>
      <c r="Q199" s="8" t="s">
        <v>2097</v>
      </c>
      <c r="R199" s="8" t="s">
        <v>2098</v>
      </c>
      <c r="S199" s="8" t="s">
        <v>2099</v>
      </c>
      <c r="T199" s="8" t="s">
        <v>39</v>
      </c>
      <c r="U199" s="8" t="s">
        <v>39</v>
      </c>
      <c r="V199" s="8" t="s">
        <v>39</v>
      </c>
      <c r="W199" s="8" t="s">
        <v>39</v>
      </c>
      <c r="X199" s="8" t="s">
        <v>1828</v>
      </c>
      <c r="Y199" s="8" t="s">
        <v>55</v>
      </c>
    </row>
    <row r="200" spans="1:25" ht="41.4">
      <c r="A200" s="8" t="s">
        <v>2100</v>
      </c>
      <c r="B200" s="8" t="s">
        <v>2252</v>
      </c>
      <c r="C200" s="8">
        <v>5</v>
      </c>
      <c r="D200" s="8" t="s">
        <v>2259</v>
      </c>
      <c r="E200" s="8" t="s">
        <v>1816</v>
      </c>
      <c r="F200" s="8" t="s">
        <v>2267</v>
      </c>
      <c r="G200" s="8" t="s">
        <v>2268</v>
      </c>
      <c r="H200" s="8" t="s">
        <v>2101</v>
      </c>
      <c r="I200" s="8" t="s">
        <v>2102</v>
      </c>
      <c r="J200" s="8" t="s">
        <v>2094</v>
      </c>
      <c r="K200" s="8" t="s">
        <v>2103</v>
      </c>
      <c r="L200" s="8" t="s">
        <v>2104</v>
      </c>
      <c r="M200" s="8" t="s">
        <v>88</v>
      </c>
      <c r="N200" s="8" t="s">
        <v>2105</v>
      </c>
      <c r="O200" s="8" t="s">
        <v>2106</v>
      </c>
      <c r="P200" s="8" t="s">
        <v>65</v>
      </c>
      <c r="Q200" s="8" t="s">
        <v>2107</v>
      </c>
      <c r="R200" s="8" t="s">
        <v>2108</v>
      </c>
      <c r="S200" s="8" t="s">
        <v>2109</v>
      </c>
      <c r="T200" s="8" t="s">
        <v>39</v>
      </c>
      <c r="U200" s="8" t="s">
        <v>39</v>
      </c>
      <c r="V200" s="8" t="s">
        <v>39</v>
      </c>
      <c r="W200" s="8" t="s">
        <v>39</v>
      </c>
      <c r="X200" s="8" t="s">
        <v>1828</v>
      </c>
      <c r="Y200" s="8" t="s">
        <v>55</v>
      </c>
    </row>
    <row r="201" spans="1:25" ht="41.4">
      <c r="A201" s="8" t="s">
        <v>2110</v>
      </c>
      <c r="B201" s="8" t="s">
        <v>2252</v>
      </c>
      <c r="C201" s="8">
        <v>5</v>
      </c>
      <c r="D201" s="8" t="s">
        <v>2259</v>
      </c>
      <c r="E201" s="8" t="s">
        <v>1816</v>
      </c>
      <c r="F201" s="8" t="s">
        <v>2267</v>
      </c>
      <c r="G201" s="8" t="s">
        <v>2268</v>
      </c>
      <c r="H201" s="8" t="s">
        <v>2111</v>
      </c>
      <c r="I201" s="8" t="s">
        <v>2112</v>
      </c>
      <c r="J201" s="8" t="s">
        <v>2113</v>
      </c>
      <c r="K201" s="8" t="s">
        <v>2114</v>
      </c>
      <c r="L201" s="8" t="s">
        <v>2115</v>
      </c>
      <c r="M201" s="8" t="s">
        <v>76</v>
      </c>
      <c r="N201" s="8" t="s">
        <v>2116</v>
      </c>
      <c r="O201" s="8" t="s">
        <v>2117</v>
      </c>
      <c r="P201" s="8" t="s">
        <v>65</v>
      </c>
      <c r="Q201" s="8" t="s">
        <v>2118</v>
      </c>
      <c r="R201" s="8" t="s">
        <v>2119</v>
      </c>
      <c r="S201" s="8" t="s">
        <v>2120</v>
      </c>
      <c r="T201" s="8" t="s">
        <v>39</v>
      </c>
      <c r="U201" s="8" t="s">
        <v>39</v>
      </c>
      <c r="V201" s="8" t="s">
        <v>39</v>
      </c>
      <c r="W201" s="8" t="s">
        <v>39</v>
      </c>
      <c r="X201" s="8" t="s">
        <v>1828</v>
      </c>
      <c r="Y201" s="8" t="s">
        <v>42</v>
      </c>
    </row>
    <row r="202" spans="1:25" ht="27.6">
      <c r="A202" s="8" t="s">
        <v>2121</v>
      </c>
      <c r="B202" s="8" t="s">
        <v>2252</v>
      </c>
      <c r="C202" s="8">
        <v>5</v>
      </c>
      <c r="D202" s="8" t="s">
        <v>2259</v>
      </c>
      <c r="E202" s="8" t="s">
        <v>1816</v>
      </c>
      <c r="F202" s="8" t="s">
        <v>2267</v>
      </c>
      <c r="G202" s="8" t="s">
        <v>2268</v>
      </c>
      <c r="H202" s="8" t="s">
        <v>2122</v>
      </c>
      <c r="I202" s="8" t="s">
        <v>2123</v>
      </c>
      <c r="J202" s="8" t="s">
        <v>2124</v>
      </c>
      <c r="K202" s="8" t="s">
        <v>2125</v>
      </c>
      <c r="L202" s="8" t="s">
        <v>2126</v>
      </c>
      <c r="M202" s="8" t="s">
        <v>76</v>
      </c>
      <c r="N202" s="8" t="s">
        <v>2127</v>
      </c>
      <c r="O202" s="8" t="s">
        <v>2128</v>
      </c>
      <c r="P202" s="8" t="s">
        <v>191</v>
      </c>
      <c r="Q202" s="8" t="s">
        <v>2129</v>
      </c>
      <c r="R202" s="8" t="s">
        <v>2130</v>
      </c>
      <c r="S202" s="8" t="s">
        <v>2131</v>
      </c>
      <c r="T202" s="8" t="s">
        <v>39</v>
      </c>
      <c r="U202" s="8" t="s">
        <v>39</v>
      </c>
      <c r="V202" s="8" t="s">
        <v>39</v>
      </c>
      <c r="W202" s="8" t="s">
        <v>39</v>
      </c>
      <c r="X202" s="8" t="s">
        <v>1828</v>
      </c>
      <c r="Y202" s="8" t="s">
        <v>55</v>
      </c>
    </row>
    <row r="203" spans="1:25" ht="55.2">
      <c r="A203" s="8" t="s">
        <v>2132</v>
      </c>
      <c r="B203" s="8" t="s">
        <v>2252</v>
      </c>
      <c r="C203" s="8">
        <v>5</v>
      </c>
      <c r="D203" s="8" t="s">
        <v>2259</v>
      </c>
      <c r="E203" s="8" t="s">
        <v>1816</v>
      </c>
      <c r="F203" s="8" t="s">
        <v>2267</v>
      </c>
      <c r="G203" s="8" t="s">
        <v>2268</v>
      </c>
      <c r="H203" s="8" t="s">
        <v>2133</v>
      </c>
      <c r="I203" s="8" t="s">
        <v>2134</v>
      </c>
      <c r="J203" s="8" t="s">
        <v>2135</v>
      </c>
      <c r="K203" s="8" t="s">
        <v>2136</v>
      </c>
      <c r="L203" s="8" t="s">
        <v>2137</v>
      </c>
      <c r="M203" s="8" t="s">
        <v>88</v>
      </c>
      <c r="N203" s="8" t="s">
        <v>2138</v>
      </c>
      <c r="O203" s="8" t="s">
        <v>2139</v>
      </c>
      <c r="P203" s="8" t="s">
        <v>191</v>
      </c>
      <c r="Q203" s="8" t="s">
        <v>2140</v>
      </c>
      <c r="R203" s="8" t="s">
        <v>2141</v>
      </c>
      <c r="S203" s="8" t="s">
        <v>2142</v>
      </c>
      <c r="T203" s="8" t="s">
        <v>39</v>
      </c>
      <c r="U203" s="8" t="s">
        <v>39</v>
      </c>
      <c r="V203" s="8" t="s">
        <v>39</v>
      </c>
      <c r="W203" s="8" t="s">
        <v>39</v>
      </c>
      <c r="X203" s="8" t="s">
        <v>1828</v>
      </c>
      <c r="Y203" s="8" t="s">
        <v>55</v>
      </c>
    </row>
    <row r="204" spans="1:25" ht="41.4">
      <c r="A204" s="8" t="s">
        <v>2143</v>
      </c>
      <c r="B204" s="8" t="s">
        <v>2252</v>
      </c>
      <c r="C204" s="8">
        <v>5</v>
      </c>
      <c r="D204" s="8" t="s">
        <v>2259</v>
      </c>
      <c r="E204" s="8" t="s">
        <v>1816</v>
      </c>
      <c r="F204" s="8" t="s">
        <v>2267</v>
      </c>
      <c r="G204" s="8" t="s">
        <v>2268</v>
      </c>
      <c r="H204" s="8" t="s">
        <v>2144</v>
      </c>
      <c r="I204" s="8" t="s">
        <v>2145</v>
      </c>
      <c r="J204" s="8" t="s">
        <v>2146</v>
      </c>
      <c r="K204" s="8" t="s">
        <v>2147</v>
      </c>
      <c r="L204" s="8" t="s">
        <v>2148</v>
      </c>
      <c r="M204" s="8" t="s">
        <v>88</v>
      </c>
      <c r="N204" s="8" t="s">
        <v>2149</v>
      </c>
      <c r="O204" s="8" t="s">
        <v>2150</v>
      </c>
      <c r="P204" s="8" t="s">
        <v>191</v>
      </c>
      <c r="Q204" s="8" t="s">
        <v>2151</v>
      </c>
      <c r="R204" s="8" t="s">
        <v>2152</v>
      </c>
      <c r="S204" s="8" t="s">
        <v>2153</v>
      </c>
      <c r="T204" s="8" t="s">
        <v>39</v>
      </c>
      <c r="U204" s="8" t="s">
        <v>39</v>
      </c>
      <c r="V204" s="8" t="s">
        <v>39</v>
      </c>
      <c r="W204" s="8" t="s">
        <v>39</v>
      </c>
      <c r="X204" s="8" t="s">
        <v>1828</v>
      </c>
      <c r="Y204" s="8" t="s">
        <v>55</v>
      </c>
    </row>
    <row r="205" spans="1:25" ht="55.2">
      <c r="A205" s="8" t="s">
        <v>2154</v>
      </c>
      <c r="B205" s="8" t="s">
        <v>2252</v>
      </c>
      <c r="C205" s="8">
        <v>5</v>
      </c>
      <c r="D205" s="8" t="s">
        <v>2259</v>
      </c>
      <c r="E205" s="8" t="s">
        <v>1816</v>
      </c>
      <c r="F205" s="8" t="s">
        <v>2267</v>
      </c>
      <c r="G205" s="8" t="s">
        <v>2268</v>
      </c>
      <c r="H205" s="8" t="s">
        <v>2155</v>
      </c>
      <c r="I205" s="8" t="s">
        <v>2156</v>
      </c>
      <c r="J205" s="8" t="s">
        <v>2157</v>
      </c>
      <c r="K205" s="8" t="s">
        <v>2158</v>
      </c>
      <c r="L205" s="8" t="s">
        <v>2159</v>
      </c>
      <c r="M205" s="8" t="s">
        <v>76</v>
      </c>
      <c r="N205" s="8" t="s">
        <v>2160</v>
      </c>
      <c r="O205" s="8" t="s">
        <v>2161</v>
      </c>
      <c r="P205" s="8" t="s">
        <v>65</v>
      </c>
      <c r="Q205" s="8" t="s">
        <v>2162</v>
      </c>
      <c r="R205" s="8" t="s">
        <v>2163</v>
      </c>
      <c r="S205" s="8" t="s">
        <v>2164</v>
      </c>
      <c r="T205" s="8" t="s">
        <v>39</v>
      </c>
      <c r="U205" s="8" t="s">
        <v>39</v>
      </c>
      <c r="V205" s="8" t="s">
        <v>39</v>
      </c>
      <c r="W205" s="8" t="s">
        <v>39</v>
      </c>
      <c r="X205" s="8" t="s">
        <v>1828</v>
      </c>
      <c r="Y205" s="8" t="s">
        <v>42</v>
      </c>
    </row>
  </sheetData>
  <conditionalFormatting sqref="F2:F205">
    <cfRule type="expression" dxfId="4" priority="1">
      <formula>F2="A_CLASSER"</formula>
    </cfRule>
  </conditionalFormatting>
  <conditionalFormatting sqref="W2:W205">
    <cfRule type="expression" dxfId="3" priority="2">
      <formula>W2="Oui"</formula>
    </cfRule>
    <cfRule type="expression" dxfId="2" priority="3">
      <formula>W2="Non"</formula>
    </cfRule>
  </conditionalFormatting>
  <dataValidations count="4">
    <dataValidation type="list" sqref="B2:B205" xr:uid="{00000000-0002-0000-0400-000000000000}">
      <formula1>"Carte de résident"</formula1>
    </dataValidation>
    <dataValidation type="list" sqref="D2:D205" xr:uid="{00000000-0002-0000-0400-000001000000}">
      <formula1>"T1,T2,T3,T4,T5"</formula1>
    </dataValidation>
    <dataValidation type="list" sqref="F2:F205" xr:uid="{00000000-0002-0000-0400-000002000000}">
      <formula1>"T1_CH01,T1_CH02,T1_CH03,T1_CH04,T1_CH05,T1_CH06,T2_CH01,T2_CH02,T2_CH03,T2_CH04,T3_CH01,T3_CH02,T4_CH01,T4_CH02,T4_CH03,T5_CH01,T5_CH02,T5_CH03,T5_CH04"</formula1>
    </dataValidation>
    <dataValidation type="list" sqref="W2:W205" xr:uid="{00000000-0002-0000-0400-000003000000}">
      <formula1>"Oui,Non"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
  <sheetViews>
    <sheetView workbookViewId="0">
      <selection activeCell="G10" sqref="G10"/>
    </sheetView>
  </sheetViews>
  <sheetFormatPr baseColWidth="10" defaultColWidth="8.796875" defaultRowHeight="13.8"/>
  <cols>
    <col min="1" max="1" width="22" customWidth="1"/>
    <col min="2" max="2" width="34" customWidth="1"/>
    <col min="3" max="3" width="22" customWidth="1"/>
    <col min="4" max="4" width="42" customWidth="1"/>
    <col min="5" max="7" width="22" customWidth="1"/>
  </cols>
  <sheetData>
    <row r="1" spans="1:7" ht="25.65" customHeight="1">
      <c r="A1" s="13" t="s">
        <v>2335</v>
      </c>
      <c r="B1" s="13"/>
      <c r="C1" s="13"/>
      <c r="D1" s="13"/>
      <c r="E1" s="13"/>
      <c r="F1" s="13"/>
      <c r="G1" s="13"/>
    </row>
    <row r="2" spans="1:7" ht="25.65" customHeight="1">
      <c r="A2" s="14" t="s">
        <v>2336</v>
      </c>
      <c r="B2" s="14"/>
      <c r="C2" s="14"/>
      <c r="D2" s="14"/>
      <c r="E2" s="14"/>
      <c r="F2" s="14"/>
      <c r="G2" s="14"/>
    </row>
    <row r="4" spans="1:7" ht="27.6">
      <c r="A4" s="9" t="s">
        <v>2230</v>
      </c>
      <c r="B4" s="9" t="s">
        <v>2231</v>
      </c>
      <c r="C4" s="9" t="s">
        <v>2232</v>
      </c>
      <c r="D4" s="9" t="s">
        <v>2233</v>
      </c>
      <c r="E4" s="9" t="s">
        <v>2337</v>
      </c>
      <c r="F4" s="9" t="s">
        <v>2338</v>
      </c>
      <c r="G4" s="9" t="s">
        <v>2339</v>
      </c>
    </row>
    <row r="5" spans="1:7">
      <c r="A5" s="8" t="s">
        <v>2256</v>
      </c>
      <c r="B5" s="8" t="s">
        <v>25</v>
      </c>
      <c r="C5" s="8" t="s">
        <v>2257</v>
      </c>
      <c r="D5" s="8" t="s">
        <v>2258</v>
      </c>
      <c r="E5" s="8">
        <f>COUNTIFS(Banque_CR_Chatbot!$F$2:$F$205,C5,Banque_CR_Chatbot!$W$2:$W$205,"Oui")</f>
        <v>8</v>
      </c>
      <c r="F5" s="8">
        <f t="shared" ref="F5:F23" si="0">MAX(0,5-E5)</f>
        <v>0</v>
      </c>
      <c r="G5" s="8" t="str">
        <f t="shared" ref="G5:G23" si="1">IF(E5&gt;=5,"OK","INCOMPLET")</f>
        <v>OK</v>
      </c>
    </row>
    <row r="6" spans="1:7">
      <c r="A6" s="8" t="s">
        <v>2256</v>
      </c>
      <c r="B6" s="8" t="s">
        <v>25</v>
      </c>
      <c r="C6" s="8" t="s">
        <v>2270</v>
      </c>
      <c r="D6" s="8" t="s">
        <v>2271</v>
      </c>
      <c r="E6" s="8">
        <f>COUNTIFS(Banque_CR_Chatbot!$F$2:$F$205,C6,Banque_CR_Chatbot!$W$2:$W$205,"Oui")</f>
        <v>2</v>
      </c>
      <c r="F6" s="8">
        <f t="shared" si="0"/>
        <v>3</v>
      </c>
      <c r="G6" s="8" t="str">
        <f t="shared" si="1"/>
        <v>INCOMPLET</v>
      </c>
    </row>
    <row r="7" spans="1:7">
      <c r="A7" s="8" t="s">
        <v>2256</v>
      </c>
      <c r="B7" s="8" t="s">
        <v>25</v>
      </c>
      <c r="C7" s="8" t="s">
        <v>2262</v>
      </c>
      <c r="D7" s="8" t="s">
        <v>2263</v>
      </c>
      <c r="E7" s="8">
        <f>COUNTIFS(Banque_CR_Chatbot!$F$2:$F$205,C7,Banque_CR_Chatbot!$W$2:$W$205,"Oui")</f>
        <v>8</v>
      </c>
      <c r="F7" s="8">
        <f t="shared" si="0"/>
        <v>0</v>
      </c>
      <c r="G7" s="8" t="str">
        <f t="shared" si="1"/>
        <v>OK</v>
      </c>
    </row>
    <row r="8" spans="1:7">
      <c r="A8" s="8" t="s">
        <v>2256</v>
      </c>
      <c r="B8" s="8" t="s">
        <v>25</v>
      </c>
      <c r="C8" s="8" t="s">
        <v>2265</v>
      </c>
      <c r="D8" s="8" t="s">
        <v>2266</v>
      </c>
      <c r="E8" s="8">
        <f>COUNTIFS(Banque_CR_Chatbot!$F$2:$F$205,C8,Banque_CR_Chatbot!$W$2:$W$205,"Oui")</f>
        <v>15</v>
      </c>
      <c r="F8" s="8">
        <f t="shared" si="0"/>
        <v>0</v>
      </c>
      <c r="G8" s="8" t="str">
        <f t="shared" si="1"/>
        <v>OK</v>
      </c>
    </row>
    <row r="9" spans="1:7">
      <c r="A9" s="8" t="s">
        <v>2256</v>
      </c>
      <c r="B9" s="8" t="s">
        <v>25</v>
      </c>
      <c r="C9" s="8" t="s">
        <v>2275</v>
      </c>
      <c r="D9" s="8" t="s">
        <v>2276</v>
      </c>
      <c r="E9" s="8">
        <f>COUNTIFS(Banque_CR_Chatbot!$F$2:$F$205,C9,Banque_CR_Chatbot!$W$2:$W$205,"Oui")</f>
        <v>1</v>
      </c>
      <c r="F9" s="8">
        <f t="shared" si="0"/>
        <v>4</v>
      </c>
      <c r="G9" s="8" t="str">
        <f t="shared" si="1"/>
        <v>INCOMPLET</v>
      </c>
    </row>
    <row r="10" spans="1:7" ht="27.6">
      <c r="A10" s="8" t="s">
        <v>2256</v>
      </c>
      <c r="B10" s="8" t="s">
        <v>25</v>
      </c>
      <c r="C10" s="8" t="s">
        <v>2340</v>
      </c>
      <c r="D10" s="8" t="s">
        <v>2341</v>
      </c>
      <c r="E10" s="8">
        <f>COUNTIFS(Banque_CR_Chatbot!$F$2:$F$205,C10,Banque_CR_Chatbot!$W$2:$W$205,"Oui")</f>
        <v>0</v>
      </c>
      <c r="F10" s="8">
        <f t="shared" si="0"/>
        <v>5</v>
      </c>
      <c r="G10" s="8" t="str">
        <f t="shared" si="1"/>
        <v>INCOMPLET</v>
      </c>
    </row>
    <row r="11" spans="1:7">
      <c r="A11" s="8" t="s">
        <v>2281</v>
      </c>
      <c r="B11" s="8" t="s">
        <v>2282</v>
      </c>
      <c r="C11" s="8" t="s">
        <v>2283</v>
      </c>
      <c r="D11" s="8" t="s">
        <v>2284</v>
      </c>
      <c r="E11" s="8">
        <f>COUNTIFS(Banque_CR_Chatbot!$F$2:$F$205,C11,Banque_CR_Chatbot!$W$2:$W$205,"Oui")</f>
        <v>22</v>
      </c>
      <c r="F11" s="8">
        <f t="shared" si="0"/>
        <v>0</v>
      </c>
      <c r="G11" s="8" t="str">
        <f t="shared" si="1"/>
        <v>OK</v>
      </c>
    </row>
    <row r="12" spans="1:7">
      <c r="A12" s="8" t="s">
        <v>2281</v>
      </c>
      <c r="B12" s="8" t="s">
        <v>2282</v>
      </c>
      <c r="C12" s="8" t="s">
        <v>2288</v>
      </c>
      <c r="D12" s="8" t="s">
        <v>2289</v>
      </c>
      <c r="E12" s="8">
        <f>COUNTIFS(Banque_CR_Chatbot!$F$2:$F$205,C12,Banque_CR_Chatbot!$W$2:$W$205,"Oui")</f>
        <v>5</v>
      </c>
      <c r="F12" s="8">
        <f t="shared" si="0"/>
        <v>0</v>
      </c>
      <c r="G12" s="8" t="str">
        <f t="shared" si="1"/>
        <v>OK</v>
      </c>
    </row>
    <row r="13" spans="1:7">
      <c r="A13" s="8" t="s">
        <v>2281</v>
      </c>
      <c r="B13" s="8" t="s">
        <v>2282</v>
      </c>
      <c r="C13" s="8" t="s">
        <v>2286</v>
      </c>
      <c r="D13" s="8" t="s">
        <v>2287</v>
      </c>
      <c r="E13" s="8">
        <f>COUNTIFS(Banque_CR_Chatbot!$F$2:$F$205,C13,Banque_CR_Chatbot!$W$2:$W$205,"Oui")</f>
        <v>8</v>
      </c>
      <c r="F13" s="8">
        <f t="shared" si="0"/>
        <v>0</v>
      </c>
      <c r="G13" s="8" t="str">
        <f t="shared" si="1"/>
        <v>OK</v>
      </c>
    </row>
    <row r="14" spans="1:7">
      <c r="A14" s="8" t="s">
        <v>2281</v>
      </c>
      <c r="B14" s="8" t="s">
        <v>2282</v>
      </c>
      <c r="C14" s="8" t="s">
        <v>2305</v>
      </c>
      <c r="D14" s="8" t="s">
        <v>2306</v>
      </c>
      <c r="E14" s="8">
        <f>COUNTIFS(Banque_CR_Chatbot!$F$2:$F$205,C14,Banque_CR_Chatbot!$W$2:$W$205,"Oui")</f>
        <v>15</v>
      </c>
      <c r="F14" s="8">
        <f t="shared" si="0"/>
        <v>0</v>
      </c>
      <c r="G14" s="8" t="str">
        <f t="shared" si="1"/>
        <v>OK</v>
      </c>
    </row>
    <row r="15" spans="1:7">
      <c r="A15" s="8" t="s">
        <v>2253</v>
      </c>
      <c r="B15" s="8" t="s">
        <v>950</v>
      </c>
      <c r="C15" s="8" t="s">
        <v>2308</v>
      </c>
      <c r="D15" s="8" t="s">
        <v>2309</v>
      </c>
      <c r="E15" s="8">
        <f>COUNTIFS(Banque_CR_Chatbot!$F$2:$F$205,C15,Banque_CR_Chatbot!$W$2:$W$205,"Oui")</f>
        <v>22</v>
      </c>
      <c r="F15" s="8">
        <f t="shared" si="0"/>
        <v>0</v>
      </c>
      <c r="G15" s="8" t="str">
        <f t="shared" si="1"/>
        <v>OK</v>
      </c>
    </row>
    <row r="16" spans="1:7">
      <c r="A16" s="8" t="s">
        <v>2253</v>
      </c>
      <c r="B16" s="8" t="s">
        <v>950</v>
      </c>
      <c r="C16" s="8" t="s">
        <v>2254</v>
      </c>
      <c r="D16" s="8" t="s">
        <v>2255</v>
      </c>
      <c r="E16" s="8">
        <f>COUNTIFS(Banque_CR_Chatbot!$F$2:$F$205,C16,Banque_CR_Chatbot!$W$2:$W$205,"Oui")</f>
        <v>18</v>
      </c>
      <c r="F16" s="8">
        <f t="shared" si="0"/>
        <v>0</v>
      </c>
      <c r="G16" s="8" t="str">
        <f t="shared" si="1"/>
        <v>OK</v>
      </c>
    </row>
    <row r="17" spans="1:7">
      <c r="A17" s="8" t="s">
        <v>2318</v>
      </c>
      <c r="B17" s="8" t="s">
        <v>2319</v>
      </c>
      <c r="C17" s="8" t="s">
        <v>2320</v>
      </c>
      <c r="D17" s="8" t="s">
        <v>1350</v>
      </c>
      <c r="E17" s="8">
        <f>COUNTIFS(Banque_CR_Chatbot!$F$2:$F$205,C17,Banque_CR_Chatbot!$W$2:$W$205,"Oui")</f>
        <v>20</v>
      </c>
      <c r="F17" s="8">
        <f t="shared" si="0"/>
        <v>0</v>
      </c>
      <c r="G17" s="8" t="str">
        <f t="shared" si="1"/>
        <v>OK</v>
      </c>
    </row>
    <row r="18" spans="1:7">
      <c r="A18" s="8" t="s">
        <v>2318</v>
      </c>
      <c r="B18" s="8" t="s">
        <v>2319</v>
      </c>
      <c r="C18" s="8" t="s">
        <v>2323</v>
      </c>
      <c r="D18" s="8" t="s">
        <v>2324</v>
      </c>
      <c r="E18" s="8">
        <f>COUNTIFS(Banque_CR_Chatbot!$F$2:$F$205,C18,Banque_CR_Chatbot!$W$2:$W$205,"Oui")</f>
        <v>11</v>
      </c>
      <c r="F18" s="8">
        <f t="shared" si="0"/>
        <v>0</v>
      </c>
      <c r="G18" s="8" t="str">
        <f t="shared" si="1"/>
        <v>OK</v>
      </c>
    </row>
    <row r="19" spans="1:7">
      <c r="A19" s="8" t="s">
        <v>2318</v>
      </c>
      <c r="B19" s="8" t="s">
        <v>2319</v>
      </c>
      <c r="C19" s="8" t="s">
        <v>2326</v>
      </c>
      <c r="D19" s="8" t="s">
        <v>2327</v>
      </c>
      <c r="E19" s="8">
        <f>COUNTIFS(Banque_CR_Chatbot!$F$2:$F$205,C19,Banque_CR_Chatbot!$W$2:$W$205,"Oui")</f>
        <v>14</v>
      </c>
      <c r="F19" s="8">
        <f t="shared" si="0"/>
        <v>0</v>
      </c>
      <c r="G19" s="8" t="str">
        <f t="shared" si="1"/>
        <v>OK</v>
      </c>
    </row>
    <row r="20" spans="1:7">
      <c r="A20" s="8" t="s">
        <v>2259</v>
      </c>
      <c r="B20" s="8" t="s">
        <v>1816</v>
      </c>
      <c r="C20" s="8" t="s">
        <v>2260</v>
      </c>
      <c r="D20" s="8" t="s">
        <v>2261</v>
      </c>
      <c r="E20" s="8">
        <f>COUNTIFS(Banque_CR_Chatbot!$F$2:$F$205,C20,Banque_CR_Chatbot!$W$2:$W$205,"Oui")</f>
        <v>8</v>
      </c>
      <c r="F20" s="8">
        <f t="shared" si="0"/>
        <v>0</v>
      </c>
      <c r="G20" s="8" t="str">
        <f t="shared" si="1"/>
        <v>OK</v>
      </c>
    </row>
    <row r="21" spans="1:7">
      <c r="A21" s="8" t="s">
        <v>2259</v>
      </c>
      <c r="B21" s="8" t="s">
        <v>1816</v>
      </c>
      <c r="C21" s="8" t="s">
        <v>2331</v>
      </c>
      <c r="D21" s="8" t="s">
        <v>2332</v>
      </c>
      <c r="E21" s="8">
        <f>COUNTIFS(Banque_CR_Chatbot!$F$2:$F$205,C21,Banque_CR_Chatbot!$W$2:$W$205,"Oui")</f>
        <v>4</v>
      </c>
      <c r="F21" s="8">
        <f t="shared" si="0"/>
        <v>1</v>
      </c>
      <c r="G21" s="8" t="str">
        <f t="shared" si="1"/>
        <v>INCOMPLET</v>
      </c>
    </row>
    <row r="22" spans="1:7">
      <c r="A22" s="8" t="s">
        <v>2259</v>
      </c>
      <c r="B22" s="8" t="s">
        <v>1816</v>
      </c>
      <c r="C22" s="8" t="s">
        <v>2312</v>
      </c>
      <c r="D22" s="8" t="s">
        <v>2313</v>
      </c>
      <c r="E22" s="8">
        <f>COUNTIFS(Banque_CR_Chatbot!$F$2:$F$205,C22,Banque_CR_Chatbot!$W$2:$W$205,"Oui")</f>
        <v>9</v>
      </c>
      <c r="F22" s="8">
        <f t="shared" si="0"/>
        <v>0</v>
      </c>
      <c r="G22" s="8" t="str">
        <f t="shared" si="1"/>
        <v>OK</v>
      </c>
    </row>
    <row r="23" spans="1:7">
      <c r="A23" s="8" t="s">
        <v>2259</v>
      </c>
      <c r="B23" s="8" t="s">
        <v>1816</v>
      </c>
      <c r="C23" s="8" t="s">
        <v>2267</v>
      </c>
      <c r="D23" s="8" t="s">
        <v>2268</v>
      </c>
      <c r="E23" s="8">
        <f>COUNTIFS(Banque_CR_Chatbot!$F$2:$F$205,C23,Banque_CR_Chatbot!$W$2:$W$205,"Oui")</f>
        <v>14</v>
      </c>
      <c r="F23" s="8">
        <f t="shared" si="0"/>
        <v>0</v>
      </c>
      <c r="G23" s="8" t="str">
        <f t="shared" si="1"/>
        <v>OK</v>
      </c>
    </row>
  </sheetData>
  <mergeCells count="2">
    <mergeCell ref="A1:G1"/>
    <mergeCell ref="A2:G2"/>
  </mergeCells>
  <conditionalFormatting sqref="E5:E23">
    <cfRule type="dataBar" priority="1">
      <dataBar>
        <cfvo type="min"/>
        <cfvo type="max"/>
        <color rgb="FFA02B93"/>
      </dataBar>
    </cfRule>
    <cfRule type="dataBar" priority="4">
      <dataBar>
        <cfvo type="min"/>
        <cfvo type="max"/>
        <color rgb="FFA02B93"/>
      </dataBar>
      <extLst>
        <ext xmlns:x14="http://schemas.microsoft.com/office/spreadsheetml/2009/9/main" uri="{B025F937-C7B1-47D3-B67F-A62EFF666E3E}">
          <x14:id>{0282ECBC-9B69-3F77-5025-1B73339C6353}</x14:id>
        </ext>
      </extLst>
    </cfRule>
  </conditionalFormatting>
  <conditionalFormatting sqref="G5:G23">
    <cfRule type="expression" dxfId="1" priority="2">
      <formula>G5="OK"</formula>
    </cfRule>
    <cfRule type="expression" dxfId="0" priority="3">
      <formula>G5="INCOMPLET"</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282ECBC-9B69-3F77-5025-1B73339C6353}">
            <x14:dataBar>
              <x14:cfvo type="min"/>
              <x14:cfvo type="max"/>
              <x14:negativeFillColor auto="1"/>
              <x14:axisColor auto="1"/>
            </x14:dataBar>
          </x14:cfRule>
          <xm:sqref>E5:E23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tabSelected="1" workbookViewId="0"/>
  </sheetViews>
  <sheetFormatPr baseColWidth="10" defaultColWidth="8.796875" defaultRowHeight="13.8"/>
  <cols>
    <col min="1" max="1" width="28" customWidth="1"/>
    <col min="2" max="2" width="35" customWidth="1"/>
    <col min="3" max="3" width="28" customWidth="1"/>
    <col min="4" max="4" width="45" customWidth="1"/>
    <col min="5" max="5" width="28" customWidth="1"/>
  </cols>
  <sheetData>
    <row r="1" spans="1:5">
      <c r="A1" s="6" t="s">
        <v>2230</v>
      </c>
      <c r="B1" s="6" t="s">
        <v>2231</v>
      </c>
      <c r="C1" s="6" t="s">
        <v>2232</v>
      </c>
      <c r="D1" s="6" t="s">
        <v>2233</v>
      </c>
      <c r="E1" s="6" t="s">
        <v>2342</v>
      </c>
    </row>
    <row r="2" spans="1:5">
      <c r="A2" s="2" t="s">
        <v>2256</v>
      </c>
      <c r="B2" s="2" t="s">
        <v>25</v>
      </c>
      <c r="C2" s="2" t="s">
        <v>2257</v>
      </c>
      <c r="D2" s="2" t="s">
        <v>2258</v>
      </c>
      <c r="E2" s="2" t="s">
        <v>2343</v>
      </c>
    </row>
    <row r="3" spans="1:5">
      <c r="A3" s="2" t="s">
        <v>2256</v>
      </c>
      <c r="B3" s="2" t="s">
        <v>25</v>
      </c>
      <c r="C3" s="2" t="s">
        <v>2270</v>
      </c>
      <c r="D3" s="2" t="s">
        <v>2271</v>
      </c>
      <c r="E3" s="2" t="s">
        <v>2343</v>
      </c>
    </row>
    <row r="4" spans="1:5">
      <c r="A4" s="2" t="s">
        <v>2256</v>
      </c>
      <c r="B4" s="2" t="s">
        <v>25</v>
      </c>
      <c r="C4" s="2" t="s">
        <v>2262</v>
      </c>
      <c r="D4" s="2" t="s">
        <v>2263</v>
      </c>
      <c r="E4" s="2" t="s">
        <v>2343</v>
      </c>
    </row>
    <row r="5" spans="1:5">
      <c r="A5" s="2" t="s">
        <v>2256</v>
      </c>
      <c r="B5" s="2" t="s">
        <v>25</v>
      </c>
      <c r="C5" s="2" t="s">
        <v>2265</v>
      </c>
      <c r="D5" s="2" t="s">
        <v>2266</v>
      </c>
      <c r="E5" s="2" t="s">
        <v>2343</v>
      </c>
    </row>
    <row r="6" spans="1:5">
      <c r="A6" s="2" t="s">
        <v>2256</v>
      </c>
      <c r="B6" s="2" t="s">
        <v>25</v>
      </c>
      <c r="C6" s="2" t="s">
        <v>2275</v>
      </c>
      <c r="D6" s="2" t="s">
        <v>2276</v>
      </c>
      <c r="E6" s="2" t="s">
        <v>2343</v>
      </c>
    </row>
    <row r="7" spans="1:5" ht="27.6">
      <c r="A7" s="2" t="s">
        <v>2256</v>
      </c>
      <c r="B7" s="2" t="s">
        <v>25</v>
      </c>
      <c r="C7" s="2" t="s">
        <v>2340</v>
      </c>
      <c r="D7" s="2" t="s">
        <v>2341</v>
      </c>
      <c r="E7" s="2" t="s">
        <v>2343</v>
      </c>
    </row>
    <row r="8" spans="1:5">
      <c r="A8" s="2" t="s">
        <v>2281</v>
      </c>
      <c r="B8" s="2" t="s">
        <v>2282</v>
      </c>
      <c r="C8" s="2" t="s">
        <v>2283</v>
      </c>
      <c r="D8" s="2" t="s">
        <v>2284</v>
      </c>
      <c r="E8" s="2" t="s">
        <v>2343</v>
      </c>
    </row>
    <row r="9" spans="1:5">
      <c r="A9" s="2" t="s">
        <v>2281</v>
      </c>
      <c r="B9" s="2" t="s">
        <v>2282</v>
      </c>
      <c r="C9" s="2" t="s">
        <v>2288</v>
      </c>
      <c r="D9" s="2" t="s">
        <v>2289</v>
      </c>
      <c r="E9" s="2" t="s">
        <v>2343</v>
      </c>
    </row>
    <row r="10" spans="1:5">
      <c r="A10" s="2" t="s">
        <v>2281</v>
      </c>
      <c r="B10" s="2" t="s">
        <v>2282</v>
      </c>
      <c r="C10" s="2" t="s">
        <v>2286</v>
      </c>
      <c r="D10" s="2" t="s">
        <v>2287</v>
      </c>
      <c r="E10" s="2" t="s">
        <v>2343</v>
      </c>
    </row>
    <row r="11" spans="1:5">
      <c r="A11" s="2" t="s">
        <v>2281</v>
      </c>
      <c r="B11" s="2" t="s">
        <v>2282</v>
      </c>
      <c r="C11" s="2" t="s">
        <v>2305</v>
      </c>
      <c r="D11" s="2" t="s">
        <v>2306</v>
      </c>
      <c r="E11" s="2" t="s">
        <v>2343</v>
      </c>
    </row>
    <row r="12" spans="1:5">
      <c r="A12" s="2" t="s">
        <v>2253</v>
      </c>
      <c r="B12" s="2" t="s">
        <v>950</v>
      </c>
      <c r="C12" s="2" t="s">
        <v>2308</v>
      </c>
      <c r="D12" s="2" t="s">
        <v>2309</v>
      </c>
      <c r="E12" s="2" t="s">
        <v>2343</v>
      </c>
    </row>
    <row r="13" spans="1:5">
      <c r="A13" s="2" t="s">
        <v>2253</v>
      </c>
      <c r="B13" s="2" t="s">
        <v>950</v>
      </c>
      <c r="C13" s="2" t="s">
        <v>2254</v>
      </c>
      <c r="D13" s="2" t="s">
        <v>2255</v>
      </c>
      <c r="E13" s="2" t="s">
        <v>2343</v>
      </c>
    </row>
    <row r="14" spans="1:5">
      <c r="A14" s="2" t="s">
        <v>2318</v>
      </c>
      <c r="B14" s="2" t="s">
        <v>2319</v>
      </c>
      <c r="C14" s="2" t="s">
        <v>2320</v>
      </c>
      <c r="D14" s="2" t="s">
        <v>1350</v>
      </c>
      <c r="E14" s="2" t="s">
        <v>2343</v>
      </c>
    </row>
    <row r="15" spans="1:5">
      <c r="A15" s="2" t="s">
        <v>2318</v>
      </c>
      <c r="B15" s="2" t="s">
        <v>2319</v>
      </c>
      <c r="C15" s="2" t="s">
        <v>2323</v>
      </c>
      <c r="D15" s="2" t="s">
        <v>2324</v>
      </c>
      <c r="E15" s="2" t="s">
        <v>2343</v>
      </c>
    </row>
    <row r="16" spans="1:5">
      <c r="A16" s="2" t="s">
        <v>2318</v>
      </c>
      <c r="B16" s="2" t="s">
        <v>2319</v>
      </c>
      <c r="C16" s="2" t="s">
        <v>2326</v>
      </c>
      <c r="D16" s="2" t="s">
        <v>2327</v>
      </c>
      <c r="E16" s="2" t="s">
        <v>2343</v>
      </c>
    </row>
    <row r="17" spans="1:5">
      <c r="A17" s="2" t="s">
        <v>2259</v>
      </c>
      <c r="B17" s="2" t="s">
        <v>1816</v>
      </c>
      <c r="C17" s="2" t="s">
        <v>2260</v>
      </c>
      <c r="D17" s="2" t="s">
        <v>2261</v>
      </c>
      <c r="E17" s="2" t="s">
        <v>2343</v>
      </c>
    </row>
    <row r="18" spans="1:5">
      <c r="A18" s="2" t="s">
        <v>2259</v>
      </c>
      <c r="B18" s="2" t="s">
        <v>1816</v>
      </c>
      <c r="C18" s="2" t="s">
        <v>2331</v>
      </c>
      <c r="D18" s="2" t="s">
        <v>2332</v>
      </c>
      <c r="E18" s="2" t="s">
        <v>2343</v>
      </c>
    </row>
    <row r="19" spans="1:5">
      <c r="A19" s="2" t="s">
        <v>2259</v>
      </c>
      <c r="B19" s="2" t="s">
        <v>1816</v>
      </c>
      <c r="C19" s="2" t="s">
        <v>2312</v>
      </c>
      <c r="D19" s="2" t="s">
        <v>2313</v>
      </c>
      <c r="E19" s="2" t="s">
        <v>2343</v>
      </c>
    </row>
    <row r="20" spans="1:5">
      <c r="A20" s="2" t="s">
        <v>2259</v>
      </c>
      <c r="B20" s="2" t="s">
        <v>1816</v>
      </c>
      <c r="C20" s="2" t="s">
        <v>2267</v>
      </c>
      <c r="D20" s="2" t="s">
        <v>2268</v>
      </c>
      <c r="E20" s="2" t="s">
        <v>2343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Banque_CR</vt:lpstr>
      <vt:lpstr>Contrôle_Qualité</vt:lpstr>
      <vt:lpstr>Standard_V2</vt:lpstr>
      <vt:lpstr>Sources_Fichiers</vt:lpstr>
      <vt:lpstr>Banque_CR_Chatbot</vt:lpstr>
      <vt:lpstr>Contrôle_Mini_QCM</vt:lpstr>
      <vt:lpstr>Référentiel_Chapitres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TIMOTHEE PICHENOT</dc:creator>
  <cp:lastModifiedBy>TIMOTHEE PICHENOT</cp:lastModifiedBy>
  <dcterms:created xsi:type="dcterms:W3CDTF">2026-07-30T14:06:42Z</dcterms:created>
  <dcterms:modified xsi:type="dcterms:W3CDTF">2026-07-30T14:06:42Z</dcterms:modified>
</cp:coreProperties>
</file>